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F:\INTERVIEW_PREP\EXCEL_PROJECT\"/>
    </mc:Choice>
  </mc:AlternateContent>
  <xr:revisionPtr revIDLastSave="0" documentId="8_{E92E62FC-4CA0-494A-B7E3-D417AF6EC713}" xr6:coauthVersionLast="47" xr6:coauthVersionMax="47" xr10:uidLastSave="{00000000-0000-0000-0000-000000000000}"/>
  <bookViews>
    <workbookView xWindow="-108" yWindow="-108" windowWidth="23256" windowHeight="12456" activeTab="2" xr2:uid="{8FFB6813-F846-4A3C-B5D2-0ED308D5CB06}"/>
  </bookViews>
  <sheets>
    <sheet name="Clean_loan_data" sheetId="1" r:id="rId1"/>
    <sheet name="Pivot_Analysis" sheetId="2" r:id="rId2"/>
    <sheet name="Dashboard" sheetId="4" r:id="rId3"/>
  </sheets>
  <definedNames>
    <definedName name="Slicer_Gender">#N/A</definedName>
    <definedName name="Slicer_Risk_Category">#N/A</definedName>
  </definedNames>
  <calcPr calcId="0"/>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alcChain>
</file>

<file path=xl/sharedStrings.xml><?xml version="1.0" encoding="utf-8"?>
<sst xmlns="http://schemas.openxmlformats.org/spreadsheetml/2006/main" count="2478" uniqueCount="30">
  <si>
    <t>Applicant_ID</t>
  </si>
  <si>
    <t>Age</t>
  </si>
  <si>
    <t>Gender</t>
  </si>
  <si>
    <t>Income</t>
  </si>
  <si>
    <t>LoanAmount</t>
  </si>
  <si>
    <t>CreditScore</t>
  </si>
  <si>
    <t>Loan_Status</t>
  </si>
  <si>
    <t>Risk_Category</t>
  </si>
  <si>
    <t>Female</t>
  </si>
  <si>
    <t>Rejected</t>
  </si>
  <si>
    <t>High Risk</t>
  </si>
  <si>
    <t>Male</t>
  </si>
  <si>
    <t>Approved</t>
  </si>
  <si>
    <t>Medium Risk</t>
  </si>
  <si>
    <t>Low Risk</t>
  </si>
  <si>
    <t>Income_Group</t>
  </si>
  <si>
    <t>Loan_To_Income_Ratio</t>
  </si>
  <si>
    <t>Row Labels</t>
  </si>
  <si>
    <t>Grand Total</t>
  </si>
  <si>
    <t>Count of Loan_Status</t>
  </si>
  <si>
    <t>Count of Risk_Category</t>
  </si>
  <si>
    <t>High Income</t>
  </si>
  <si>
    <t>Low Income</t>
  </si>
  <si>
    <t>Medium Income</t>
  </si>
  <si>
    <t>Column Labels</t>
  </si>
  <si>
    <t>LOAN RISK DASHBOARD</t>
  </si>
  <si>
    <t>Total Applications</t>
  </si>
  <si>
    <t>Approved Loan</t>
  </si>
  <si>
    <t>Rejected Loans</t>
  </si>
  <si>
    <t>Approval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</si>
</sst>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center"/>
    </xf>
    <xf numFmtId="0" fontId="18" fillId="0" borderId="0" xfId="0" applyFont="1" applyAlignment="1">
      <alignment horizontal="center"/>
    </xf>
    <xf numFmtId="0" fontId="0" fillId="0" borderId="0" xfId="0" applyAlignment="1">
      <alignment horizontal="center" vertical="center"/>
    </xf>
    <xf numFmtId="0" fontId="0" fillId="0" borderId="0" xfId="0" applyAlignment="1">
      <alignment horizontal="center" vertical="center"/>
    </xf>
    <xf numFmtId="1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[Loan_Risk_Analysis_Dashboardxlsx.xlsx]Pivot_Analysis!PivotTable1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63-478D-90EB-0E329B5607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63-478D-90EB-0E329B56079F}"/>
              </c:ext>
            </c:extLst>
          </c:dPt>
          <c:cat>
            <c:strRef>
              <c:f>Pivot_Analysis!$A$4:$A$6</c:f>
              <c:strCache>
                <c:ptCount val="2"/>
                <c:pt idx="0">
                  <c:v>Approved</c:v>
                </c:pt>
                <c:pt idx="1">
                  <c:v>Rejected</c:v>
                </c:pt>
              </c:strCache>
            </c:strRef>
          </c:cat>
          <c:val>
            <c:numRef>
              <c:f>Pivot_Analysis!$B$4:$B$6</c:f>
              <c:numCache>
                <c:formatCode>0.00%</c:formatCode>
                <c:ptCount val="2"/>
                <c:pt idx="0">
                  <c:v>0.7931034482758621</c:v>
                </c:pt>
                <c:pt idx="1">
                  <c:v>0.20689655172413793</c:v>
                </c:pt>
              </c:numCache>
            </c:numRef>
          </c:val>
          <c:extLst>
            <c:ext xmlns:c16="http://schemas.microsoft.com/office/drawing/2014/chart" uri="{C3380CC4-5D6E-409C-BE32-E72D297353CC}">
              <c16:uniqueId val="{00000004-1863-478D-90EB-0E329B5607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[Loan_Risk_Analysis_Dashboardxlsx.xlsx]Pivot_Analysis!PivotTable4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c:f>
              <c:strCache>
                <c:ptCount val="1"/>
                <c:pt idx="0">
                  <c:v>Total</c:v>
                </c:pt>
              </c:strCache>
            </c:strRef>
          </c:tx>
          <c:spPr>
            <a:solidFill>
              <a:schemeClr val="accent1"/>
            </a:solidFill>
            <a:ln>
              <a:noFill/>
            </a:ln>
            <a:effectLst/>
          </c:spPr>
          <c:invertIfNegative val="0"/>
          <c:cat>
            <c:strRef>
              <c:f>Pivot_Analysis!$G$4:$G$5</c:f>
              <c:strCache>
                <c:ptCount val="1"/>
                <c:pt idx="0">
                  <c:v>Low Risk</c:v>
                </c:pt>
              </c:strCache>
            </c:strRef>
          </c:cat>
          <c:val>
            <c:numRef>
              <c:f>Pivot_Analysis!$H$4:$H$5</c:f>
              <c:numCache>
                <c:formatCode>General</c:formatCode>
                <c:ptCount val="1"/>
                <c:pt idx="0">
                  <c:v>87</c:v>
                </c:pt>
              </c:numCache>
            </c:numRef>
          </c:val>
          <c:extLst>
            <c:ext xmlns:c16="http://schemas.microsoft.com/office/drawing/2014/chart" uri="{C3380CC4-5D6E-409C-BE32-E72D297353CC}">
              <c16:uniqueId val="{00000000-7588-4F8C-B8E1-2225C77E7170}"/>
            </c:ext>
          </c:extLst>
        </c:ser>
        <c:dLbls>
          <c:showLegendKey val="0"/>
          <c:showVal val="0"/>
          <c:showCatName val="0"/>
          <c:showSerName val="0"/>
          <c:showPercent val="0"/>
          <c:showBubbleSize val="0"/>
        </c:dLbls>
        <c:gapWidth val="219"/>
        <c:overlap val="-27"/>
        <c:axId val="571293391"/>
        <c:axId val="389286303"/>
      </c:barChart>
      <c:catAx>
        <c:axId val="5712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86303"/>
        <c:crosses val="autoZero"/>
        <c:auto val="1"/>
        <c:lblAlgn val="ctr"/>
        <c:lblOffset val="100"/>
        <c:noMultiLvlLbl val="0"/>
      </c:catAx>
      <c:valAx>
        <c:axId val="38928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29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[Loan_Risk_Analysis_Dashboardxlsx.xlsx]Pivot_Analysis!PivotTable5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Pivot_Analysis!$B$11:$B$12</c:f>
              <c:strCache>
                <c:ptCount val="1"/>
                <c:pt idx="0">
                  <c:v>Approved</c:v>
                </c:pt>
              </c:strCache>
            </c:strRef>
          </c:tx>
          <c:spPr>
            <a:solidFill>
              <a:schemeClr val="accent1"/>
            </a:solidFill>
            <a:ln>
              <a:noFill/>
            </a:ln>
            <a:effectLst/>
          </c:spPr>
          <c:invertIfNegative val="0"/>
          <c:cat>
            <c:strRef>
              <c:f>Pivot_Analysis!$A$13:$A$16</c:f>
              <c:strCache>
                <c:ptCount val="3"/>
                <c:pt idx="0">
                  <c:v>High Income</c:v>
                </c:pt>
                <c:pt idx="1">
                  <c:v>Low Income</c:v>
                </c:pt>
                <c:pt idx="2">
                  <c:v>Medium Income</c:v>
                </c:pt>
              </c:strCache>
            </c:strRef>
          </c:cat>
          <c:val>
            <c:numRef>
              <c:f>Pivot_Analysis!$B$13:$B$16</c:f>
              <c:numCache>
                <c:formatCode>0.00%</c:formatCode>
                <c:ptCount val="3"/>
                <c:pt idx="0">
                  <c:v>0.43776824034334766</c:v>
                </c:pt>
                <c:pt idx="1">
                  <c:v>4.2168674698795178E-2</c:v>
                </c:pt>
                <c:pt idx="2">
                  <c:v>0.28743961352657005</c:v>
                </c:pt>
              </c:numCache>
            </c:numRef>
          </c:val>
          <c:extLst>
            <c:ext xmlns:c16="http://schemas.microsoft.com/office/drawing/2014/chart" uri="{C3380CC4-5D6E-409C-BE32-E72D297353CC}">
              <c16:uniqueId val="{00000000-7B50-4762-8A77-ACCC3B237508}"/>
            </c:ext>
          </c:extLst>
        </c:ser>
        <c:ser>
          <c:idx val="1"/>
          <c:order val="1"/>
          <c:tx>
            <c:strRef>
              <c:f>Pivot_Analysis!$C$11:$C$12</c:f>
              <c:strCache>
                <c:ptCount val="1"/>
                <c:pt idx="0">
                  <c:v>Rejected</c:v>
                </c:pt>
              </c:strCache>
            </c:strRef>
          </c:tx>
          <c:spPr>
            <a:solidFill>
              <a:schemeClr val="accent2"/>
            </a:solidFill>
            <a:ln>
              <a:noFill/>
            </a:ln>
            <a:effectLst/>
          </c:spPr>
          <c:invertIfNegative val="0"/>
          <c:cat>
            <c:strRef>
              <c:f>Pivot_Analysis!$A$13:$A$16</c:f>
              <c:strCache>
                <c:ptCount val="3"/>
                <c:pt idx="0">
                  <c:v>High Income</c:v>
                </c:pt>
                <c:pt idx="1">
                  <c:v>Low Income</c:v>
                </c:pt>
                <c:pt idx="2">
                  <c:v>Medium Income</c:v>
                </c:pt>
              </c:strCache>
            </c:strRef>
          </c:cat>
          <c:val>
            <c:numRef>
              <c:f>Pivot_Analysis!$C$13:$C$16</c:f>
              <c:numCache>
                <c:formatCode>0.00%</c:formatCode>
                <c:ptCount val="3"/>
                <c:pt idx="0">
                  <c:v>0.5622317596566524</c:v>
                </c:pt>
                <c:pt idx="1">
                  <c:v>0.95783132530120485</c:v>
                </c:pt>
                <c:pt idx="2">
                  <c:v>0.7125603864734299</c:v>
                </c:pt>
              </c:numCache>
            </c:numRef>
          </c:val>
          <c:extLst>
            <c:ext xmlns:c16="http://schemas.microsoft.com/office/drawing/2014/chart" uri="{C3380CC4-5D6E-409C-BE32-E72D297353CC}">
              <c16:uniqueId val="{00000001-7B50-4762-8A77-ACCC3B237508}"/>
            </c:ext>
          </c:extLst>
        </c:ser>
        <c:dLbls>
          <c:showLegendKey val="0"/>
          <c:showVal val="0"/>
          <c:showCatName val="0"/>
          <c:showSerName val="0"/>
          <c:showPercent val="0"/>
          <c:showBubbleSize val="0"/>
        </c:dLbls>
        <c:gapWidth val="219"/>
        <c:overlap val="-27"/>
        <c:axId val="744439887"/>
        <c:axId val="381452607"/>
      </c:barChart>
      <c:catAx>
        <c:axId val="74443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52607"/>
        <c:crosses val="autoZero"/>
        <c:auto val="1"/>
        <c:lblAlgn val="ctr"/>
        <c:lblOffset val="100"/>
        <c:noMultiLvlLbl val="0"/>
      </c:catAx>
      <c:valAx>
        <c:axId val="381452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43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213360</xdr:colOff>
      <xdr:row>8</xdr:row>
      <xdr:rowOff>175260</xdr:rowOff>
    </xdr:from>
    <xdr:to>
      <xdr:col>6</xdr:col>
      <xdr:colOff>548640</xdr:colOff>
      <xdr:row>22</xdr:row>
      <xdr:rowOff>7620</xdr:rowOff>
    </xdr:to>
    <xdr:graphicFrame macro="">
      <xdr:nvGraphicFramePr>
        <xdr:cNvPr id="2" name="Chart 1">
          <a:extLst>
            <a:ext uri="{FF2B5EF4-FFF2-40B4-BE49-F238E27FC236}">
              <a16:creationId xmlns:a16="http://schemas.microsoft.com/office/drawing/2014/main" id="{4EC5DD5A-0E25-E019-A91F-00461765D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8</xdr:row>
      <xdr:rowOff>99060</xdr:rowOff>
    </xdr:from>
    <xdr:to>
      <xdr:col>13</xdr:col>
      <xdr:colOff>83820</xdr:colOff>
      <xdr:row>22</xdr:row>
      <xdr:rowOff>57150</xdr:rowOff>
    </xdr:to>
    <xdr:graphicFrame macro="">
      <xdr:nvGraphicFramePr>
        <xdr:cNvPr id="3" name="Chart 2">
          <a:extLst>
            <a:ext uri="{FF2B5EF4-FFF2-40B4-BE49-F238E27FC236}">
              <a16:creationId xmlns:a16="http://schemas.microsoft.com/office/drawing/2014/main" id="{434EB98F-8EA2-A68B-D95B-E07F94427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556260</xdr:colOff>
      <xdr:row>8</xdr:row>
      <xdr:rowOff>152400</xdr:rowOff>
    </xdr:from>
    <xdr:to>
      <xdr:col>20</xdr:col>
      <xdr:colOff>38100</xdr:colOff>
      <xdr:row>22</xdr:row>
      <xdr:rowOff>30480</xdr:rowOff>
    </xdr:to>
    <xdr:graphicFrame macro="">
      <xdr:nvGraphicFramePr>
        <xdr:cNvPr id="4" name="Chart 3">
          <a:extLst>
            <a:ext uri="{FF2B5EF4-FFF2-40B4-BE49-F238E27FC236}">
              <a16:creationId xmlns:a16="http://schemas.microsoft.com/office/drawing/2014/main" id="{71E34FD4-4B87-96A4-CBC5-E9E4481CC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0</xdr:row>
      <xdr:rowOff>167641</xdr:rowOff>
    </xdr:from>
    <xdr:to>
      <xdr:col>19</xdr:col>
      <xdr:colOff>0</xdr:colOff>
      <xdr:row>6</xdr:row>
      <xdr:rowOff>152401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02D76534-B94A-48FC-95EB-5B24938B42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53600" y="16764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0</xdr:row>
      <xdr:rowOff>129541</xdr:rowOff>
    </xdr:from>
    <xdr:to>
      <xdr:col>22</xdr:col>
      <xdr:colOff>266700</xdr:colOff>
      <xdr:row>7</xdr:row>
      <xdr:rowOff>30480</xdr:rowOff>
    </xdr:to>
    <mc:AlternateContent xmlns:mc="http://schemas.openxmlformats.org/markup-compatibility/2006">
      <mc:Choice xmlns:a14="http://schemas.microsoft.com/office/drawing/2010/main" Requires="a14">
        <xdr:graphicFrame macro="">
          <xdr:nvGraphicFramePr>
            <xdr:cNvPr id="6" name="Risk_Category">
              <a:extLst>
                <a:ext uri="{FF2B5EF4-FFF2-40B4-BE49-F238E27FC236}">
                  <a16:creationId xmlns:a16="http://schemas.microsoft.com/office/drawing/2014/main" id="{64CA53FE-C924-4E77-B6A9-755F5AF0E3A5}"/>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dr:sp macro="" textlink="">
          <xdr:nvSpPr>
            <xdr:cNvPr id="0" name=""/>
            <xdr:cNvSpPr>
              <a:spLocks noTextEdit="1"/>
            </xdr:cNvSpPr>
          </xdr:nvSpPr>
          <xdr:spPr>
            <a:xfrm>
              <a:off x="11849100" y="12954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ushti" refreshedDate="46243.694957060186" createdVersion="8" refreshedVersion="8" minRefreshableVersion="3" recordCount="813" xr:uid="{EB51415E-70D1-4AAB-BD4D-4A05E25D043F}">
  <cacheSource type="worksheet">
    <worksheetSource name="Table1"/>
  </cacheSource>
  <cacheFields count="10">
    <cacheField name="Applicant_ID" numFmtId="0">
      <sharedItems containsSemiMixedTypes="0" containsString="0" containsNumber="1" containsInteger="1" minValue="1" maxValue="999"/>
    </cacheField>
    <cacheField name="Age" numFmtId="0">
      <sharedItems containsSemiMixedTypes="0" containsString="0" containsNumber="1" containsInteger="1" minValue="21" maxValue="59"/>
    </cacheField>
    <cacheField name="Gender" numFmtId="0">
      <sharedItems count="2">
        <s v="Female"/>
        <s v="Male"/>
      </sharedItems>
    </cacheField>
    <cacheField name="Income" numFmtId="0">
      <sharedItems containsSemiMixedTypes="0" containsString="0" containsNumber="1" containsInteger="1" minValue="15125" maxValue="79978"/>
    </cacheField>
    <cacheField name="LoanAmount" numFmtId="0">
      <sharedItems containsSemiMixedTypes="0" containsString="0" containsNumber="1" containsInteger="1" minValue="1024" maxValue="19994"/>
    </cacheField>
    <cacheField name="CreditScore" numFmtId="0">
      <sharedItems containsSemiMixedTypes="0" containsString="0" containsNumber="1" containsInteger="1" minValue="400" maxValue="849"/>
    </cacheField>
    <cacheField name="Loan_Status" numFmtId="0">
      <sharedItems count="2">
        <s v="Rejected"/>
        <s v="Approved"/>
      </sharedItems>
    </cacheField>
    <cacheField name="Risk_Category" numFmtId="0">
      <sharedItems count="3">
        <s v="High Risk"/>
        <s v="Medium Risk"/>
        <s v="Low Risk"/>
      </sharedItems>
    </cacheField>
    <cacheField name="Income_Group" numFmtId="0">
      <sharedItems count="3">
        <s v="Low Income"/>
        <s v="Medium Income"/>
        <s v="High Income"/>
      </sharedItems>
    </cacheField>
    <cacheField name="Loan_To_Income_Ratio" numFmtId="10">
      <sharedItems containsSemiMixedTypes="0" containsString="0" containsNumber="1" minValue="1.6162209814869231E-2" maxValue="1.2076653306613228" count="813">
        <n v="8.9944416371905006E-2"/>
        <n v="0.26026580134093674"/>
        <n v="0.11329858202240219"/>
        <n v="0.39849604958971624"/>
        <n v="0.14217238722930753"/>
        <n v="0.21655670103092783"/>
        <n v="0.32658458732330142"/>
        <n v="0.45267357312914225"/>
        <n v="0.84490134729583044"/>
        <n v="0.10652140731130276"/>
        <n v="0.10942201357929394"/>
        <n v="0.31701018249790941"/>
        <n v="0.27371134020618559"/>
        <n v="4.595366128925181E-2"/>
        <n v="0.52682170542635653"/>
        <n v="0.62791280380856929"/>
        <n v="0.28451471193886424"/>
        <n v="2.7851239669421487E-2"/>
        <n v="0.36189911858380863"/>
        <n v="0.42345651410137658"/>
        <n v="0.24191940766054393"/>
        <n v="0.24389027431421445"/>
        <n v="8.0209158179286241E-2"/>
        <n v="6.5896907216494841E-2"/>
        <n v="0.13211119021422563"/>
        <n v="0.2642979318923962"/>
        <n v="0.17407960831690722"/>
        <n v="0.42344351328993274"/>
        <n v="0.22815915232352277"/>
        <n v="0.34316334252862341"/>
        <n v="0.26356377267136527"/>
        <n v="0.26414629641031956"/>
        <n v="9.400144276122302E-2"/>
        <n v="0.23109171128452324"/>
        <n v="0.17486031823150736"/>
        <n v="0.15699095172049402"/>
        <n v="5.6164948453608247E-2"/>
        <n v="0.11018874924639428"/>
        <n v="0.23760679575999413"/>
        <n v="0.21113956466069142"/>
        <n v="0.40865085327895245"/>
        <n v="0.52546265027691474"/>
        <n v="0.64459504499500053"/>
        <n v="0.16506983173649839"/>
        <n v="0.17678035936319086"/>
        <n v="0.40105460242252877"/>
        <n v="5.799759916915067E-2"/>
        <n v="0.15829328914664456"/>
        <n v="0.17378037572148083"/>
        <n v="0.54402343034962475"/>
        <n v="0.11651533009080195"/>
        <n v="0.28766883922486852"/>
        <n v="0.30587551223834314"/>
        <n v="0.16407868160708083"/>
        <n v="7.2577319587628863E-2"/>
        <n v="6.4405656208572692E-2"/>
        <n v="5.0272273640184689E-2"/>
        <n v="6.5383653428462363E-2"/>
        <n v="9.4831100015285066E-2"/>
        <n v="0.2087543022093927"/>
        <n v="0.29016239115085901"/>
        <n v="4.0902205015990574E-2"/>
        <n v="0.47769815209836303"/>
        <n v="0.41623344392486744"/>
        <n v="0.41321808031694579"/>
        <n v="0.19139725672038652"/>
        <n v="0.15372162192688529"/>
        <n v="0.32374909928118245"/>
        <n v="0.96257648953301123"/>
        <n v="0.22725231768838647"/>
        <n v="6.6275407958774693E-2"/>
        <n v="7.7025868589581964E-2"/>
        <n v="0.21824397565246395"/>
        <n v="0.24547721364528621"/>
        <n v="0.92024633550488599"/>
        <n v="6.3411325873177354E-2"/>
        <n v="0.16133501834736666"/>
        <n v="0.13731520330382443"/>
        <n v="0.23233905384545536"/>
        <n v="0.39084065244667504"/>
        <n v="0.10270932190417878"/>
        <n v="0.35187627382807818"/>
        <n v="4.5565867491621552E-2"/>
        <n v="0.17495041533295366"/>
        <n v="0.13583505154639175"/>
        <n v="0.74992027213776979"/>
        <n v="4.9644458312121262E-2"/>
        <n v="0.30474266436529107"/>
        <n v="2.7270820222362071E-2"/>
        <n v="0.14504036908881199"/>
        <n v="0.22631993478050599"/>
        <n v="0.69081984456261325"/>
        <n v="5.8318386868851567E-2"/>
        <n v="6.6941087172301045E-2"/>
        <n v="0.29457297520946107"/>
        <n v="0.59457579972183583"/>
        <n v="0.20697592547458499"/>
        <n v="0.1572014089855566"/>
        <n v="0.24831818469389907"/>
        <n v="0.23912432948577528"/>
        <n v="0.3515114778459974"/>
        <n v="0.28093287575187276"/>
        <n v="0.17974503830341035"/>
        <n v="0.19454732051224846"/>
        <n v="0.14457507696758062"/>
        <n v="0.43259722617129498"/>
        <n v="0.69865665285896794"/>
        <n v="0.13888104174233559"/>
        <n v="7.4358232001544108E-2"/>
        <n v="0.29748453608247422"/>
        <n v="0.19971436544806867"/>
        <n v="0.52421300551470584"/>
        <n v="0.29809573724668065"/>
        <n v="0.52914081594284645"/>
        <n v="0.35142268041237112"/>
        <n v="0.12054860891116784"/>
        <n v="0.25025867420845693"/>
        <n v="0.30442349151926024"/>
        <n v="4.472164948453608E-2"/>
        <n v="8.2950029725585905E-2"/>
        <n v="0.26018179008443265"/>
        <n v="0.24897410375958232"/>
        <n v="3.9630196678836417E-2"/>
        <n v="0.15708506637798417"/>
        <n v="0.20105851747749903"/>
        <n v="0.63861526804319002"/>
        <n v="7.4698164447207407E-2"/>
        <n v="0.46255485594352225"/>
        <n v="5.323749415614773E-2"/>
        <n v="0.47515490219900375"/>
        <n v="0.59138493221211597"/>
        <n v="0.23317007007761284"/>
        <n v="0.42378104595105875"/>
        <n v="0.26705292079799309"/>
        <n v="0.30105977363475339"/>
        <n v="0.59728535757730972"/>
        <n v="9.4831281768632494E-2"/>
        <n v="0.23164588069054495"/>
        <n v="0.30036011024604181"/>
        <n v="0.31346747035684974"/>
        <n v="9.8989628638340585E-2"/>
        <n v="0.12118963904390181"/>
        <n v="1.2076653306613228"/>
        <n v="0.31932155747915802"/>
        <n v="0.21214049976426214"/>
        <n v="0.36874176548089593"/>
        <n v="5.7301499167129372E-2"/>
        <n v="1.0233528459334911"/>
        <n v="0.32499929926843624"/>
        <n v="0.65856787435857567"/>
        <n v="0.37042668878444385"/>
        <n v="7.9154639175257738E-2"/>
        <n v="9.7734974139468522E-2"/>
        <n v="0.48971074380165291"/>
        <n v="0.13959685771300109"/>
        <n v="0.29579362001755211"/>
        <n v="0.44492871389525007"/>
        <n v="0.22024528274437349"/>
        <n v="0.15170267626922734"/>
        <n v="7.897805417688214E-2"/>
        <n v="0.17452104600755139"/>
        <n v="0.53636307654412219"/>
        <n v="4.9286762768640142E-2"/>
        <n v="0.30876288659793816"/>
        <n v="0.91471074380165285"/>
        <n v="0.25907815837558229"/>
        <n v="7.4961948249619478E-2"/>
        <n v="0.21767010309278351"/>
        <n v="0.34327916310283574"/>
        <n v="8.6309609462687426E-2"/>
        <n v="0.13744338663462427"/>
        <n v="0.43861845155308299"/>
        <n v="0.98717737958244289"/>
        <n v="0.75856491082538369"/>
        <n v="5.4440691436518973E-2"/>
        <n v="0.37871001573151547"/>
        <n v="0.32808408629909647"/>
        <n v="0.47387301838516527"/>
        <n v="0.18742643624474545"/>
        <n v="0.13346370594667339"/>
        <n v="0.13201666968653741"/>
        <n v="0.11590123266365891"/>
        <n v="1.1598208497849019"/>
        <n v="0.31075859956087348"/>
        <n v="0.20325329202168863"/>
        <n v="0.86759116589625063"/>
        <n v="0.21774363144391323"/>
        <n v="0.71647175421209119"/>
        <n v="0.10309278350515463"/>
        <n v="0.210964234462965"/>
        <n v="0.31689893635693472"/>
        <n v="0.15455599993074673"/>
        <n v="0.43360561315320978"/>
        <n v="3.9267820644997918E-2"/>
        <n v="0.19348988163421152"/>
        <n v="9.9401586742844758E-2"/>
        <n v="0.31314743685672003"/>
        <n v="0.19784238714613619"/>
        <n v="4.6433210438616056E-2"/>
        <n v="7.8316487681617183E-2"/>
        <n v="0.22724068318005575"/>
        <n v="0.12134475342414067"/>
        <n v="3.6795958191878961E-2"/>
        <n v="0.5156245830331172"/>
        <n v="0.14668530509435704"/>
        <n v="0.2467866323907455"/>
        <n v="0.23944400734329924"/>
        <n v="0.21348717030366599"/>
        <n v="0.31759473265096044"/>
        <n v="7.1799065923422944E-2"/>
        <n v="0.18158298838296169"/>
        <n v="3.2412371134020616E-2"/>
        <n v="0.13081457827995946"/>
        <n v="0.12401639486017675"/>
        <n v="0.37300796812749004"/>
        <n v="0.21708344796629067"/>
        <n v="0.28167502573424735"/>
        <n v="0.16981132075471697"/>
        <n v="0.40309234378332265"/>
        <n v="0.19094351784707114"/>
        <n v="9.5835051546391756E-2"/>
        <n v="0.46878984583285033"/>
        <n v="0.66670190274841434"/>
        <n v="0.36578220274390244"/>
        <n v="8.5298969072164943E-2"/>
        <n v="2.1484948784739222E-2"/>
        <n v="0.65186780854305681"/>
        <n v="0.25952754714126303"/>
        <n v="0.43394521145635306"/>
        <n v="8.4971646303286172E-2"/>
        <n v="0.14731328986805919"/>
        <n v="0.27366692426584233"/>
        <n v="0.78755252100840334"/>
        <n v="7.4524486226497599E-2"/>
        <n v="0.53822295201605541"/>
        <n v="0.14345621683093251"/>
        <n v="0.16579876434245366"/>
        <n v="0.39923152481654822"/>
        <n v="0.1873656207864145"/>
        <n v="0.34628448549715318"/>
        <n v="8.9102268990463668E-2"/>
        <n v="0.43321634778670892"/>
        <n v="0.95632087358252837"/>
        <n v="4.3214519690388954E-2"/>
        <n v="0.90415402322904681"/>
        <n v="9.7830300756581001E-2"/>
        <n v="0.37974708209115177"/>
        <n v="6.750368635614537E-2"/>
        <n v="0.35628865979381441"/>
        <n v="0.22971012207046651"/>
        <n v="0.27662890219165881"/>
        <n v="0.578573172220188"/>
        <n v="0.19172084633018904"/>
        <n v="1.0505557930739633"/>
        <n v="0.25517338546344726"/>
        <n v="0.10132185865089929"/>
        <n v="0.19058252427184466"/>
        <n v="7.321649484536083E-2"/>
        <n v="0.39575990601303002"/>
        <n v="0.45035736482287136"/>
        <n v="0.46670411722023264"/>
        <n v="1.9297947221749767E-2"/>
        <n v="0.31981085116973618"/>
        <n v="0.1343364130904067"/>
        <n v="0.27213268365817089"/>
        <n v="0.48406653668047772"/>
        <n v="0.13205765407554673"/>
        <n v="0.36438438716855182"/>
        <n v="0.12916757226689851"/>
        <n v="0.20110568063456455"/>
        <n v="0.41159085504637022"/>
        <n v="2.1619616175924988E-2"/>
        <n v="0.27268246376282451"/>
        <n v="0.11058114244285878"/>
        <n v="7.2050961848770148E-2"/>
        <n v="0.10140496856432682"/>
        <n v="0.30017021486543161"/>
        <n v="3.1759166223378058E-2"/>
        <n v="0.562241124260355"/>
        <n v="8.7924066787195582E-2"/>
        <n v="0.18721944706613569"/>
        <n v="0.13639864904900159"/>
        <n v="4.6089869469793231E-2"/>
        <n v="0.27623543901062247"/>
        <n v="0.31669195385689858"/>
        <n v="0.17655562268059033"/>
        <n v="0.13924145888727235"/>
        <n v="1.1159671138035483"/>
        <n v="0.11553643724696357"/>
        <n v="4.0247807614223821E-2"/>
        <n v="0.13767851672477427"/>
        <n v="0.64595571622232262"/>
        <n v="0.21137142588853935"/>
        <n v="0.40477355720362912"/>
        <n v="0.23901030927835051"/>
        <n v="8.2735159040653178E-2"/>
        <n v="5.2767495911164669E-2"/>
        <n v="0.395764949776648"/>
        <n v="0.30355525901920605"/>
        <n v="0.3396208257145607"/>
        <n v="3.9178793436063543E-2"/>
        <n v="0.61391865994747674"/>
        <n v="0.27006882844418273"/>
        <n v="0.27114577084583086"/>
        <n v="0.30215173249823213"/>
        <n v="0.35469340308049985"/>
        <n v="0.18376608601117489"/>
        <n v="0.25044757257696493"/>
        <n v="0.53244814986361999"/>
        <n v="2.1393329918309025E-2"/>
        <n v="0.32183612384248433"/>
        <n v="9.3518689007549255E-2"/>
        <n v="8.9649484536082472E-2"/>
        <n v="0.24402366259087482"/>
        <n v="0.49297247552915585"/>
        <n v="0.12455278028555188"/>
        <n v="0.23567796750525846"/>
        <n v="0.13263917525773194"/>
        <n v="3.2632364835438313E-2"/>
        <n v="0.37435897435897436"/>
        <n v="0.2010148510851473"/>
        <n v="0.16424861185742431"/>
        <n v="0.81006091757091181"/>
        <n v="0.11389080856945405"/>
        <n v="0.36025461604442238"/>
        <n v="0.28004443313045291"/>
        <n v="0.2125032647149607"/>
        <n v="0.1970103935536611"/>
        <n v="0.23548185665718449"/>
        <n v="9.5414268749429071E-2"/>
        <n v="0.19594618329996136"/>
        <n v="0.22010432514670725"/>
        <n v="0.14705995314360334"/>
        <n v="1.6162209814869231E-2"/>
        <n v="4.6033895139829126E-2"/>
        <n v="0.16778350145642909"/>
        <n v="9.2777644428161749E-2"/>
        <n v="0.11760725872209019"/>
        <n v="0.17699439334530398"/>
        <n v="0.16750033346672002"/>
        <n v="3.7751172355977053E-2"/>
        <n v="0.31014928363891392"/>
        <n v="7.428722280887011E-2"/>
        <n v="0.20569929386809568"/>
        <n v="0.15555095889601372"/>
        <n v="0.26702556778051573"/>
        <n v="0.39886886931640364"/>
        <n v="6.3123526210774536E-2"/>
        <n v="0.16695063957480355"/>
        <n v="1.0277152353382653"/>
        <n v="0.29748479966741154"/>
        <n v="0.54891384879826932"/>
        <n v="0.13284307536927156"/>
        <n v="8.7467395983691659E-2"/>
        <n v="0.79374682687425957"/>
        <n v="0.75663448533184086"/>
        <n v="0.11128773537189844"/>
        <n v="9.0808108858650372E-2"/>
        <n v="1.6451589647465938E-2"/>
        <n v="6.3706798990162794E-2"/>
        <n v="0.32354840011298069"/>
        <n v="0.137340206185567"/>
        <n v="0.1947375596455351"/>
        <n v="0.6396194193705782"/>
        <n v="0.16971283900950268"/>
        <n v="0.38698427091689047"/>
        <n v="0.11982896035219999"/>
        <n v="0.68147722923842324"/>
        <n v="0.13934904959116493"/>
        <n v="0.52772814505989019"/>
        <n v="7.1116398148387591E-2"/>
        <n v="0.39437107687291106"/>
        <n v="0.1330091757509215"/>
        <n v="0.66633926744423977"/>
        <n v="0.24432861866274799"/>
        <n v="9.0335915775699271E-2"/>
        <n v="0.21785277947464876"/>
        <n v="0.21325051759834368"/>
        <n v="0.26216035421909345"/>
        <n v="0.21223667385660591"/>
        <n v="0.46851700042940236"/>
        <n v="0.27927877428998504"/>
        <n v="0.59093835506196679"/>
        <n v="0.4076420766793819"/>
        <n v="0.25794787508804884"/>
        <n v="0.26559078979801937"/>
        <n v="3.7716178093953147E-2"/>
        <n v="0.29690349655835113"/>
        <n v="0.15141400812440167"/>
        <n v="0.35997473718523348"/>
        <n v="0.13003909824473839"/>
        <n v="0.23158955565735226"/>
        <n v="0.29085926415424385"/>
        <n v="0.86138480226751246"/>
        <n v="2.037577633667052E-2"/>
        <n v="0.17786056690287619"/>
        <n v="0.6113568834598877"/>
        <n v="0.3480806396604646"/>
        <n v="0.51068148864185592"/>
        <n v="0.95521064301552105"/>
        <n v="0.15332102678415938"/>
        <n v="0.13142268041237112"/>
        <n v="0.12980271301184731"/>
        <n v="0.48258017492711369"/>
        <n v="0.16840981526750626"/>
        <n v="2.6406855683117732E-2"/>
        <n v="7.6364416388318576E-2"/>
        <n v="0.40690961573155332"/>
        <n v="0.58511901043293557"/>
        <n v="0.48723163088411786"/>
        <n v="0.20485461125670784"/>
        <n v="0.33156021726915152"/>
        <n v="0.96840690118754202"/>
        <n v="7.2403786689500982E-2"/>
        <n v="0.17163367859706696"/>
        <n v="0.26266435896773527"/>
        <n v="0.44042118573999317"/>
        <n v="0.1688929075390791"/>
        <n v="0.59267384105960264"/>
        <n v="3.1791154383720654E-2"/>
        <n v="3.750076626003801E-2"/>
        <n v="0.13930540242557884"/>
        <n v="0.17656353044625192"/>
        <n v="0.32634583649257393"/>
        <n v="0.49203296703296701"/>
        <n v="0.42613132887218502"/>
        <n v="0.28746646843993406"/>
        <n v="0.80416365326996586"/>
        <n v="0.20858911834685104"/>
        <n v="0.24757370866105516"/>
        <n v="0.40813294564594521"/>
        <n v="0.4942354050938057"/>
        <n v="0.2470049030057557"/>
        <n v="2.3195201173512155E-2"/>
        <n v="0.36424119925888498"/>
        <n v="0.13808406591853464"/>
        <n v="0.15616364058989127"/>
        <n v="0.24958270809799193"/>
        <n v="2.6886930652903925E-2"/>
        <n v="4.5217365152403724E-2"/>
        <n v="0.2445026729518342"/>
        <n v="0.3699104120298502"/>
        <n v="0.37363984674329503"/>
        <n v="0.39941069282363434"/>
        <n v="0.18321125046188624"/>
        <n v="7.9993131531177944E-2"/>
        <n v="0.14149490207584536"/>
        <n v="0.19683050909490174"/>
        <n v="0.14498593726870507"/>
        <n v="0.22725466825586016"/>
        <n v="0.49608195070699995"/>
        <n v="0.37096884628551868"/>
        <n v="0.20128539694179048"/>
        <n v="9.2065954268643002E-2"/>
        <n v="0.75037839560264474"/>
        <n v="0.12855713125743529"/>
        <n v="0.44619963369963372"/>
        <n v="0.28845649794168887"/>
        <n v="0.28114197343683667"/>
        <n v="0.26032067821599703"/>
        <n v="7.5483830296917354E-2"/>
        <n v="0.8657083311067173"/>
        <n v="0.68815033390277991"/>
        <n v="0.27628040057224607"/>
        <n v="0.37665927050488535"/>
        <n v="0.2805154639175258"/>
        <n v="8.6234650844120422E-2"/>
        <n v="0.13055774397511261"/>
        <n v="0.20100366567923278"/>
        <n v="0.25419210594204145"/>
        <n v="0.11645360824742268"/>
        <n v="3.8247422680412368E-2"/>
        <n v="7.70180890907642E-2"/>
        <n v="0.21349791226523382"/>
        <n v="0.31333115918396925"/>
        <n v="0.74644116772192237"/>
        <n v="8.6421050419285009E-2"/>
        <n v="0.27122327028495236"/>
        <n v="0.21451582842993691"/>
        <n v="3.6245553907521273E-2"/>
        <n v="0.49758778983070673"/>
        <n v="0.13538940993149678"/>
        <n v="0.16850625459896984"/>
        <n v="0.56189743174268814"/>
        <n v="0.2221019118573945"/>
        <n v="0.15101736319354037"/>
        <n v="0.48451567588276612"/>
        <n v="7.2038500743612455E-2"/>
        <n v="4.4021534439595007E-2"/>
        <n v="5.6882956176033068E-2"/>
        <n v="0.26875119892576249"/>
        <n v="0.11577319587628866"/>
        <n v="0.25960631406829759"/>
        <n v="0.79754000217698917"/>
        <n v="9.9822625147812372E-2"/>
        <n v="3.9243326815515435E-2"/>
        <n v="5.7006325223563935E-2"/>
        <n v="0.22460799759921973"/>
        <n v="0.1317642746812577"/>
        <n v="0.13311983471074379"/>
        <n v="6.2998818108176299E-2"/>
        <n v="0.994138140795222"/>
        <n v="0.18951186584036825"/>
        <n v="3.3424884697103176E-2"/>
        <n v="0.4100789106344187"/>
        <n v="0.68785431389298746"/>
        <n v="0.25564746091775031"/>
        <n v="0.14350887426047829"/>
        <n v="0.26971398021919274"/>
        <n v="9.3237057325084749E-2"/>
        <n v="0.36257731958762884"/>
        <n v="0.31441856051620248"/>
        <n v="6.4152050743775529E-2"/>
        <n v="0.26894639556377081"/>
        <n v="0.1437844301148738"/>
        <n v="0.17692398442722876"/>
        <n v="7.2808225347762864E-2"/>
        <n v="0.21982138735507697"/>
        <n v="0.25314055463379947"/>
        <n v="0.18401722391084094"/>
        <n v="0.46894439357100004"/>
        <n v="0.37887135821020118"/>
        <n v="0.44997358689910194"/>
        <n v="9.8648857211005567E-2"/>
        <n v="9.6742310943494378E-2"/>
        <n v="4.7269270653301068E-2"/>
        <n v="4.3827880424774417E-2"/>
        <n v="0.64058717288552436"/>
        <n v="0.11665823572901669"/>
        <n v="0.26202710904309123"/>
        <n v="0.30518891392782932"/>
        <n v="0.11688659793814433"/>
        <n v="0.19647303210218484"/>
        <n v="0.17414432989690723"/>
        <n v="0.49985388273425252"/>
        <n v="0.11442288187166137"/>
        <n v="8.342211174242424E-2"/>
        <n v="0.29156864683206485"/>
        <n v="0.40527997898515827"/>
        <n v="5.818910664291168E-2"/>
        <n v="5.6635118807893674E-2"/>
        <n v="9.2089728453364814E-2"/>
        <n v="7.1597683772142512E-2"/>
        <n v="8.0257033561346974E-2"/>
        <n v="3.9358112818224912E-2"/>
        <n v="0.57019320896199321"/>
        <n v="0.38455961594983834"/>
        <n v="0.18088950573289822"/>
        <n v="0.15314141143098095"/>
        <n v="0.10377287446343851"/>
        <n v="0.59263998050325961"/>
        <n v="0.44378579825417075"/>
        <n v="0.64746670869119849"/>
        <n v="0.21828367582776464"/>
        <n v="5.3768301564579721E-2"/>
        <n v="0.21465060240963854"/>
        <n v="0.29726278149078372"/>
        <n v="9.0237543453070682E-2"/>
        <n v="0.32328295949357827"/>
        <n v="0.16214416070548429"/>
        <n v="0.43292090915880405"/>
        <n v="0.11553666197335644"/>
        <n v="0.15251844981247731"/>
        <n v="0.75659513265962686"/>
        <n v="0.16409937723949175"/>
        <n v="0.11503672979861077"/>
        <n v="0.38052940916523048"/>
        <n v="4.4746619111309262E-2"/>
        <n v="0.43283135992642835"/>
        <n v="0.33147313924561284"/>
        <n v="0.67615199449793673"/>
        <n v="0.4377663801199162"/>
        <n v="0.31248780170450852"/>
        <n v="0.24899301483709785"/>
        <n v="0.67690253671562084"/>
        <n v="2.7110211653596426E-2"/>
        <n v="0.36370018815467997"/>
        <n v="0.250931029346045"/>
        <n v="0.23054128061817772"/>
        <n v="0.74853618200509542"/>
        <n v="0.1256450861667443"/>
        <n v="0.16666405822051802"/>
        <n v="0.18162368846302659"/>
        <n v="0.39063710302091403"/>
        <n v="0.14248812711054903"/>
        <n v="6.012341561040694E-2"/>
        <n v="7.1780543561087123E-2"/>
        <n v="0.13075439105271786"/>
        <n v="0.19111239551840656"/>
        <n v="0.22401368201020302"/>
        <n v="0.23438976208880874"/>
        <n v="0.3631883641931008"/>
        <n v="0.31506546463926893"/>
        <n v="0.42759743784605364"/>
        <n v="0.28733035968491982"/>
        <n v="0.78082717999060991"/>
        <n v="0.10664288598734688"/>
        <n v="0.40321649484536082"/>
        <n v="0.27978422220521848"/>
        <n v="0.18519623046642014"/>
        <n v="0.13667715392061955"/>
        <n v="4.6449296104504413E-2"/>
        <n v="0.23954349814789822"/>
        <n v="0.10420504101135093"/>
        <n v="5.7872743041867063E-2"/>
        <n v="8.7551224842910488E-2"/>
        <n v="0.25198627384301481"/>
        <n v="0.32872807017543859"/>
        <n v="0.2852291657767716"/>
        <n v="4.2744742983205603E-2"/>
        <n v="7.6031429090060415E-2"/>
        <n v="0.51870074454652326"/>
        <n v="0.15878238040642706"/>
        <n v="0.24182203862900525"/>
        <n v="0.2646527888855883"/>
        <n v="0.68100757913508692"/>
        <n v="0.62631667649785117"/>
        <n v="0.21791752577319587"/>
        <n v="0.43592950276754905"/>
        <n v="8.3756381472636532E-2"/>
        <n v="0.17376852736843607"/>
        <n v="0.35346782857824999"/>
        <n v="0.34292011417422408"/>
        <n v="1.7017840319420975E-2"/>
        <n v="4.0820007214139711E-2"/>
        <n v="0.3920234174899378"/>
        <n v="7.3517476842134721E-2"/>
        <n v="0.22497848964193526"/>
        <n v="0.33777136640968641"/>
        <n v="0.35409532623785284"/>
        <n v="0.14703686420905274"/>
        <n v="0.52282503121964752"/>
        <n v="0.16163194878591614"/>
        <n v="0.13649785022361127"/>
        <n v="0.28930898767662427"/>
        <n v="0.31723680330286053"/>
        <n v="0.28961082320834969"/>
        <n v="5.6445767338566648E-2"/>
        <n v="0.1859225200547838"/>
        <n v="0.27062563213408469"/>
        <n v="8.7613064375733268E-2"/>
        <n v="0.26847422680412369"/>
        <n v="0.39869178907889452"/>
        <n v="0.11338590901968977"/>
        <n v="0.10793231611893583"/>
        <n v="0.21935987509758001"/>
        <n v="6.7485921433619839E-2"/>
        <n v="3.6090957557775666E-2"/>
        <n v="0.70129600398770453"/>
        <n v="0.69573951228627484"/>
        <n v="0.17933718106082369"/>
        <n v="0.24517394993635977"/>
        <n v="0.22605940081809511"/>
        <n v="0.18072703720195929"/>
        <n v="9.0901278948197592E-2"/>
        <n v="0.21583315932344957"/>
        <n v="0.25"/>
        <n v="0.21084116713466"/>
        <n v="0.39311789469402697"/>
        <n v="0.2464115253879075"/>
        <n v="0.20817843866171004"/>
        <n v="0.15756701030927836"/>
        <n v="0.16548101127284667"/>
        <n v="7.1189254899635304E-2"/>
        <n v="0.26877195906067297"/>
        <n v="0.17564557666875477"/>
        <n v="2.8793987882881931E-2"/>
        <n v="0.23170697842325955"/>
        <n v="0.13835596578553133"/>
        <n v="0.36054393736478829"/>
        <n v="0.1221221826092211"/>
        <n v="0.35035096132885729"/>
        <n v="0.11830276878820568"/>
        <n v="0.33158080037554277"/>
        <n v="0.31392826003203761"/>
        <n v="0.18932732706718067"/>
        <n v="0.68781054656194907"/>
        <n v="6.4739927283520071E-2"/>
        <n v="0.55439873050276733"/>
        <n v="1.0209446462919427"/>
        <n v="2.7771640956997492E-2"/>
        <n v="5.6925018674497077E-2"/>
        <n v="0.35136799958934345"/>
        <n v="6.2867614080500275E-2"/>
        <n v="0.34145410111501451"/>
        <n v="5.9216632634119179E-2"/>
        <n v="0.39964948453608246"/>
        <n v="0.3537876627696987"/>
        <n v="0.32239212584585641"/>
        <n v="0.44283207166618643"/>
        <n v="0.46330275229357798"/>
        <n v="0.23862556266924911"/>
        <n v="0.16395615672971395"/>
        <n v="0.25352935449323338"/>
        <n v="0.31104852258128274"/>
        <n v="0.2596103442250568"/>
        <n v="0.18383093811316753"/>
        <n v="5.8679542183906502E-2"/>
        <n v="2.5717658286661477E-2"/>
        <n v="0.1719598696402326"/>
        <n v="0.15320416037577589"/>
        <n v="0.18080673140191014"/>
        <n v="0.31604807010761005"/>
        <n v="0.12123648056123941"/>
        <n v="0.59932359134707425"/>
        <n v="0.81712062256809337"/>
        <n v="0.16744647667659152"/>
        <n v="0.19377309243754448"/>
        <n v="0.23330036075875712"/>
        <n v="0.63288709270017685"/>
        <n v="0.65315596473433724"/>
        <n v="0.48515001515304579"/>
        <n v="2.9954739502277304E-2"/>
        <n v="2.6794582392776524E-2"/>
        <n v="0.3290888295844453"/>
        <n v="5.7691948875827972E-2"/>
        <n v="7.9997949427762186E-2"/>
        <n v="0.14247540945843221"/>
        <n v="0.33644879138148509"/>
        <n v="0.18706346796234435"/>
        <n v="0.30365501101321585"/>
        <n v="0.20360667722675765"/>
        <n v="0.20370897093122475"/>
        <n v="0.14359636138206752"/>
        <n v="6.0869118553523734E-2"/>
        <n v="0.12474134738951449"/>
        <n v="0.25842449562970699"/>
        <n v="7.8488372093023256E-2"/>
        <n v="0.4743"/>
        <n v="6.2324204293116213E-2"/>
        <n v="0.20833490287665901"/>
        <n v="2.2186857840334966E-2"/>
        <n v="0.12072548649159268"/>
        <n v="0.2516468114926419"/>
        <n v="0.41650890796400508"/>
        <n v="0.2907300901624934"/>
        <n v="0.3621855670103093"/>
        <n v="9.0833621584226906E-2"/>
        <n v="6.4141314042215833E-2"/>
        <n v="1.6186472633828192E-2"/>
        <n v="0.17807896287566294"/>
        <n v="0.26548277296040168"/>
        <n v="0.23400302738406495"/>
        <n v="0.1905979381443299"/>
        <n v="0.23709694423108782"/>
        <n v="0.3725566645872323"/>
        <n v="0.22327572785302818"/>
        <n v="9.6800728576045131E-2"/>
        <n v="0.14305097073798467"/>
        <n v="0.1525570519204954"/>
        <n v="0.21117031459383576"/>
        <n v="0.36906741149608741"/>
        <n v="0.10838453264297825"/>
        <n v="0.11309161852640114"/>
        <n v="0.36265752113574734"/>
        <n v="0.40739142939315504"/>
        <n v="0.25242582162095767"/>
        <n v="0.40200601805416247"/>
        <n v="0.22287646648769707"/>
        <n v="0.3371269253622195"/>
        <n v="0.3972783505154639"/>
        <n v="0.37468764641574265"/>
        <n v="0.18285939968404424"/>
        <n v="0.30149482382433501"/>
        <n v="8.8051442332325661E-2"/>
        <n v="0.32241129974841021"/>
        <n v="0.29828754689580056"/>
        <n v="0.18181443298969072"/>
        <n v="0.15347470560098397"/>
        <n v="0.11348714436072639"/>
        <n v="0.21967226155437117"/>
        <n v="0.101849125036812"/>
        <n v="0.27162812721963536"/>
        <n v="0.65334191265181374"/>
        <n v="0.58266345809226361"/>
        <n v="5.3329804479438914E-2"/>
        <n v="0.176823985837508"/>
        <n v="0.31771087503284656"/>
        <n v="0.14729143204221343"/>
        <n v="0.13252681535127425"/>
        <n v="0.29119583592846338"/>
        <n v="0.22900655714587886"/>
        <n v="0.1348666629807781"/>
        <n v="0.17719578924725402"/>
        <n v="2.5443298969072166E-2"/>
        <n v="7.4465482655707224E-2"/>
        <n v="0.15789230413681535"/>
        <n v="0.48870186357367656"/>
        <n v="0.31708395512076493"/>
        <n v="7.0977627949739497E-2"/>
        <n v="0.18668735127460132"/>
        <n v="0.25815667011375387"/>
        <n v="4.9030927835051544E-2"/>
        <n v="3.7506886437069134E-2"/>
        <n v="0.18422680412371134"/>
        <n v="9.4150284720655189E-2"/>
        <n v="0.15676649070008386"/>
        <n v="0.37589472114524308"/>
        <n v="9.9637763530820406E-2"/>
        <n v="0.30395755968169763"/>
        <n v="0.14818690568269713"/>
        <n v="0.34987496661730072"/>
        <n v="0.28182291666666665"/>
        <n v="0.4"/>
        <n v="0.15491522767052432"/>
        <n v="0.31035352827385126"/>
        <n v="0.26344670141515275"/>
        <n v="0.30934251580257693"/>
        <n v="0.31240493155071652"/>
        <n v="0.44554652347925522"/>
        <n v="0.75426637429688248"/>
        <n v="0.50944824416750023"/>
        <n v="0.29692408173420831"/>
      </sharedItems>
    </cacheField>
  </cacheFields>
  <extLst>
    <ext xmlns:x14="http://schemas.microsoft.com/office/spreadsheetml/2009/9/main" uri="{725AE2AE-9491-48be-B2B4-4EB974FC3084}">
      <x14:pivotCacheDefinition pivotCacheId="2138368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3">
  <r>
    <n v="1"/>
    <n v="59"/>
    <x v="0"/>
    <n v="19790"/>
    <n v="1780"/>
    <n v="634"/>
    <x v="0"/>
    <x v="0"/>
    <x v="0"/>
    <x v="0"/>
  </r>
  <r>
    <n v="2"/>
    <n v="49"/>
    <x v="1"/>
    <n v="41911"/>
    <n v="10908"/>
    <n v="626"/>
    <x v="0"/>
    <x v="0"/>
    <x v="1"/>
    <x v="1"/>
  </r>
  <r>
    <n v="3"/>
    <n v="35"/>
    <x v="1"/>
    <n v="64458"/>
    <n v="7303"/>
    <n v="412"/>
    <x v="0"/>
    <x v="0"/>
    <x v="2"/>
    <x v="2"/>
  </r>
  <r>
    <n v="4"/>
    <n v="28"/>
    <x v="0"/>
    <n v="39363"/>
    <n v="15686"/>
    <n v="712"/>
    <x v="1"/>
    <x v="1"/>
    <x v="1"/>
    <x v="3"/>
  </r>
  <r>
    <n v="5"/>
    <n v="41"/>
    <x v="1"/>
    <n v="35049"/>
    <n v="4983"/>
    <n v="448"/>
    <x v="0"/>
    <x v="0"/>
    <x v="1"/>
    <x v="4"/>
  </r>
  <r>
    <n v="6"/>
    <n v="59"/>
    <x v="1"/>
    <n v="48500"/>
    <n v="10503"/>
    <n v="517"/>
    <x v="0"/>
    <x v="0"/>
    <x v="1"/>
    <x v="5"/>
  </r>
  <r>
    <n v="7"/>
    <n v="39"/>
    <x v="0"/>
    <n v="54825"/>
    <n v="17905"/>
    <n v="453"/>
    <x v="0"/>
    <x v="0"/>
    <x v="1"/>
    <x v="6"/>
  </r>
  <r>
    <n v="8"/>
    <n v="43"/>
    <x v="1"/>
    <n v="31082"/>
    <n v="14070"/>
    <n v="537"/>
    <x v="0"/>
    <x v="0"/>
    <x v="1"/>
    <x v="7"/>
  </r>
  <r>
    <n v="9"/>
    <n v="31"/>
    <x v="1"/>
    <n v="15661"/>
    <n v="13232"/>
    <n v="452"/>
    <x v="0"/>
    <x v="0"/>
    <x v="0"/>
    <x v="8"/>
  </r>
  <r>
    <n v="10"/>
    <n v="31"/>
    <x v="0"/>
    <n v="52412"/>
    <n v="5583"/>
    <n v="443"/>
    <x v="0"/>
    <x v="0"/>
    <x v="1"/>
    <x v="9"/>
  </r>
  <r>
    <n v="11"/>
    <n v="44"/>
    <x v="0"/>
    <n v="63479"/>
    <n v="6946"/>
    <n v="702"/>
    <x v="1"/>
    <x v="1"/>
    <x v="2"/>
    <x v="10"/>
  </r>
  <r>
    <n v="14"/>
    <n v="23"/>
    <x v="0"/>
    <n v="40658"/>
    <n v="12889"/>
    <n v="445"/>
    <x v="0"/>
    <x v="0"/>
    <x v="1"/>
    <x v="11"/>
  </r>
  <r>
    <n v="15"/>
    <n v="42"/>
    <x v="0"/>
    <n v="48500"/>
    <n v="13275"/>
    <n v="412"/>
    <x v="0"/>
    <x v="0"/>
    <x v="1"/>
    <x v="12"/>
  </r>
  <r>
    <n v="16"/>
    <n v="22"/>
    <x v="1"/>
    <n v="75315"/>
    <n v="3461"/>
    <n v="564"/>
    <x v="0"/>
    <x v="0"/>
    <x v="2"/>
    <x v="13"/>
  </r>
  <r>
    <n v="17"/>
    <n v="44"/>
    <x v="0"/>
    <n v="29025"/>
    <n v="15291"/>
    <n v="501"/>
    <x v="0"/>
    <x v="0"/>
    <x v="0"/>
    <x v="14"/>
  </r>
  <r>
    <n v="18"/>
    <n v="50"/>
    <x v="1"/>
    <n v="23946"/>
    <n v="15036"/>
    <n v="679"/>
    <x v="0"/>
    <x v="1"/>
    <x v="0"/>
    <x v="15"/>
  </r>
  <r>
    <n v="19"/>
    <n v="58"/>
    <x v="1"/>
    <n v="43706"/>
    <n v="12435"/>
    <n v="657"/>
    <x v="0"/>
    <x v="1"/>
    <x v="1"/>
    <x v="16"/>
  </r>
  <r>
    <n v="20"/>
    <n v="22"/>
    <x v="1"/>
    <n v="60500"/>
    <n v="1685"/>
    <n v="736"/>
    <x v="1"/>
    <x v="1"/>
    <x v="2"/>
    <x v="17"/>
  </r>
  <r>
    <n v="21"/>
    <n v="41"/>
    <x v="1"/>
    <n v="54004"/>
    <n v="19544"/>
    <n v="755"/>
    <x v="1"/>
    <x v="2"/>
    <x v="1"/>
    <x v="18"/>
  </r>
  <r>
    <n v="22"/>
    <n v="53"/>
    <x v="1"/>
    <n v="31309"/>
    <n v="13258"/>
    <n v="797"/>
    <x v="0"/>
    <x v="2"/>
    <x v="1"/>
    <x v="19"/>
  </r>
  <r>
    <n v="23"/>
    <n v="32"/>
    <x v="0"/>
    <n v="70230"/>
    <n v="16990"/>
    <n v="537"/>
    <x v="0"/>
    <x v="0"/>
    <x v="2"/>
    <x v="20"/>
  </r>
  <r>
    <n v="25"/>
    <n v="45"/>
    <x v="0"/>
    <n v="48120"/>
    <n v="11736"/>
    <n v="808"/>
    <x v="1"/>
    <x v="2"/>
    <x v="1"/>
    <x v="21"/>
  </r>
  <r>
    <n v="26"/>
    <n v="47"/>
    <x v="0"/>
    <n v="73246"/>
    <n v="5875"/>
    <n v="786"/>
    <x v="1"/>
    <x v="2"/>
    <x v="2"/>
    <x v="22"/>
  </r>
  <r>
    <n v="29"/>
    <n v="35"/>
    <x v="1"/>
    <n v="48500"/>
    <n v="3196"/>
    <n v="416"/>
    <x v="0"/>
    <x v="0"/>
    <x v="1"/>
    <x v="23"/>
  </r>
  <r>
    <n v="30"/>
    <n v="23"/>
    <x v="1"/>
    <n v="61804"/>
    <n v="8165"/>
    <n v="667"/>
    <x v="0"/>
    <x v="1"/>
    <x v="2"/>
    <x v="24"/>
  </r>
  <r>
    <n v="31"/>
    <n v="57"/>
    <x v="0"/>
    <n v="64310"/>
    <n v="16997"/>
    <n v="581"/>
    <x v="0"/>
    <x v="0"/>
    <x v="2"/>
    <x v="25"/>
  </r>
  <r>
    <n v="36"/>
    <n v="38"/>
    <x v="0"/>
    <n v="62908"/>
    <n v="10951"/>
    <n v="808"/>
    <x v="1"/>
    <x v="2"/>
    <x v="2"/>
    <x v="26"/>
  </r>
  <r>
    <n v="37"/>
    <n v="24"/>
    <x v="0"/>
    <n v="27803"/>
    <n v="11773"/>
    <n v="627"/>
    <x v="0"/>
    <x v="0"/>
    <x v="0"/>
    <x v="27"/>
  </r>
  <r>
    <n v="38"/>
    <n v="45"/>
    <x v="1"/>
    <n v="75123"/>
    <n v="17140"/>
    <n v="777"/>
    <x v="1"/>
    <x v="2"/>
    <x v="2"/>
    <x v="28"/>
  </r>
  <r>
    <n v="39"/>
    <n v="34"/>
    <x v="1"/>
    <n v="40963"/>
    <n v="14057"/>
    <n v="587"/>
    <x v="0"/>
    <x v="0"/>
    <x v="1"/>
    <x v="29"/>
  </r>
  <r>
    <n v="40"/>
    <n v="29"/>
    <x v="0"/>
    <n v="51221"/>
    <n v="13500"/>
    <n v="745"/>
    <x v="1"/>
    <x v="1"/>
    <x v="1"/>
    <x v="30"/>
  </r>
  <r>
    <n v="42"/>
    <n v="22"/>
    <x v="1"/>
    <n v="48723"/>
    <n v="12870"/>
    <n v="720"/>
    <x v="1"/>
    <x v="1"/>
    <x v="1"/>
    <x v="31"/>
  </r>
  <r>
    <n v="43"/>
    <n v="40"/>
    <x v="1"/>
    <n v="54063"/>
    <n v="5082"/>
    <n v="739"/>
    <x v="1"/>
    <x v="1"/>
    <x v="1"/>
    <x v="32"/>
  </r>
  <r>
    <n v="44"/>
    <n v="48"/>
    <x v="0"/>
    <n v="63689"/>
    <n v="14718"/>
    <n v="518"/>
    <x v="0"/>
    <x v="0"/>
    <x v="2"/>
    <x v="33"/>
  </r>
  <r>
    <n v="45"/>
    <n v="27"/>
    <x v="1"/>
    <n v="65864"/>
    <n v="11517"/>
    <n v="555"/>
    <x v="0"/>
    <x v="0"/>
    <x v="2"/>
    <x v="34"/>
  </r>
  <r>
    <n v="46"/>
    <n v="28"/>
    <x v="0"/>
    <n v="30282"/>
    <n v="4754"/>
    <n v="671"/>
    <x v="0"/>
    <x v="1"/>
    <x v="1"/>
    <x v="35"/>
  </r>
  <r>
    <n v="47"/>
    <n v="55"/>
    <x v="1"/>
    <n v="48500"/>
    <n v="2724"/>
    <n v="574"/>
    <x v="0"/>
    <x v="0"/>
    <x v="1"/>
    <x v="36"/>
  </r>
  <r>
    <n v="48"/>
    <n v="34"/>
    <x v="1"/>
    <n v="21563"/>
    <n v="2376"/>
    <n v="503"/>
    <x v="0"/>
    <x v="0"/>
    <x v="0"/>
    <x v="37"/>
  </r>
  <r>
    <n v="49"/>
    <n v="37"/>
    <x v="1"/>
    <n v="40849"/>
    <n v="9706"/>
    <n v="491"/>
    <x v="0"/>
    <x v="0"/>
    <x v="1"/>
    <x v="38"/>
  </r>
  <r>
    <n v="50"/>
    <n v="56"/>
    <x v="0"/>
    <n v="46860"/>
    <n v="9894"/>
    <n v="585"/>
    <x v="0"/>
    <x v="0"/>
    <x v="1"/>
    <x v="39"/>
  </r>
  <r>
    <n v="51"/>
    <n v="24"/>
    <x v="1"/>
    <n v="46585"/>
    <n v="19037"/>
    <n v="682"/>
    <x v="0"/>
    <x v="1"/>
    <x v="1"/>
    <x v="40"/>
  </r>
  <r>
    <n v="52"/>
    <n v="22"/>
    <x v="0"/>
    <n v="37015"/>
    <n v="19450"/>
    <n v="580"/>
    <x v="0"/>
    <x v="0"/>
    <x v="1"/>
    <x v="41"/>
  </r>
  <r>
    <n v="53"/>
    <n v="26"/>
    <x v="0"/>
    <n v="27003"/>
    <n v="17406"/>
    <n v="569"/>
    <x v="0"/>
    <x v="0"/>
    <x v="0"/>
    <x v="42"/>
  </r>
  <r>
    <n v="55"/>
    <n v="49"/>
    <x v="1"/>
    <n v="41958"/>
    <n v="6926"/>
    <n v="574"/>
    <x v="0"/>
    <x v="0"/>
    <x v="1"/>
    <x v="43"/>
  </r>
  <r>
    <n v="56"/>
    <n v="38"/>
    <x v="1"/>
    <n v="41017"/>
    <n v="7251"/>
    <n v="621"/>
    <x v="0"/>
    <x v="0"/>
    <x v="1"/>
    <x v="44"/>
  </r>
  <r>
    <n v="57"/>
    <n v="46"/>
    <x v="1"/>
    <n v="26171"/>
    <n v="10496"/>
    <n v="632"/>
    <x v="0"/>
    <x v="0"/>
    <x v="0"/>
    <x v="45"/>
  </r>
  <r>
    <n v="58"/>
    <n v="54"/>
    <x v="1"/>
    <n v="74141"/>
    <n v="4300"/>
    <n v="561"/>
    <x v="0"/>
    <x v="0"/>
    <x v="2"/>
    <x v="46"/>
  </r>
  <r>
    <n v="59"/>
    <n v="30"/>
    <x v="0"/>
    <n v="60350"/>
    <n v="9553"/>
    <n v="820"/>
    <x v="1"/>
    <x v="2"/>
    <x v="2"/>
    <x v="47"/>
  </r>
  <r>
    <n v="60"/>
    <n v="56"/>
    <x v="0"/>
    <n v="27201"/>
    <n v="4727"/>
    <n v="533"/>
    <x v="0"/>
    <x v="0"/>
    <x v="0"/>
    <x v="48"/>
  </r>
  <r>
    <n v="62"/>
    <n v="51"/>
    <x v="1"/>
    <n v="32778"/>
    <n v="17832"/>
    <n v="623"/>
    <x v="0"/>
    <x v="0"/>
    <x v="1"/>
    <x v="49"/>
  </r>
  <r>
    <n v="63"/>
    <n v="35"/>
    <x v="0"/>
    <n v="60241"/>
    <n v="7019"/>
    <n v="552"/>
    <x v="0"/>
    <x v="0"/>
    <x v="2"/>
    <x v="50"/>
  </r>
  <r>
    <n v="64"/>
    <n v="28"/>
    <x v="1"/>
    <n v="57229"/>
    <n v="16463"/>
    <n v="432"/>
    <x v="0"/>
    <x v="0"/>
    <x v="1"/>
    <x v="51"/>
  </r>
  <r>
    <n v="65"/>
    <n v="34"/>
    <x v="0"/>
    <n v="36116"/>
    <n v="11047"/>
    <n v="454"/>
    <x v="0"/>
    <x v="0"/>
    <x v="1"/>
    <x v="52"/>
  </r>
  <r>
    <n v="66"/>
    <n v="43"/>
    <x v="1"/>
    <n v="77731"/>
    <n v="12754"/>
    <n v="841"/>
    <x v="1"/>
    <x v="2"/>
    <x v="2"/>
    <x v="53"/>
  </r>
  <r>
    <n v="67"/>
    <n v="41"/>
    <x v="1"/>
    <n v="48500"/>
    <n v="3520"/>
    <n v="406"/>
    <x v="0"/>
    <x v="0"/>
    <x v="1"/>
    <x v="54"/>
  </r>
  <r>
    <n v="68"/>
    <n v="36"/>
    <x v="0"/>
    <n v="63364"/>
    <n v="4081"/>
    <n v="643"/>
    <x v="0"/>
    <x v="0"/>
    <x v="2"/>
    <x v="55"/>
  </r>
  <r>
    <n v="69"/>
    <n v="38"/>
    <x v="0"/>
    <n v="48297"/>
    <n v="2428"/>
    <n v="712"/>
    <x v="1"/>
    <x v="1"/>
    <x v="1"/>
    <x v="56"/>
  </r>
  <r>
    <n v="70"/>
    <n v="44"/>
    <x v="0"/>
    <n v="75967"/>
    <n v="4967"/>
    <n v="525"/>
    <x v="0"/>
    <x v="0"/>
    <x v="2"/>
    <x v="57"/>
  </r>
  <r>
    <n v="71"/>
    <n v="46"/>
    <x v="0"/>
    <n v="78508"/>
    <n v="7445"/>
    <n v="411"/>
    <x v="0"/>
    <x v="0"/>
    <x v="2"/>
    <x v="58"/>
  </r>
  <r>
    <n v="73"/>
    <n v="49"/>
    <x v="0"/>
    <n v="72056"/>
    <n v="15042"/>
    <n v="607"/>
    <x v="0"/>
    <x v="0"/>
    <x v="2"/>
    <x v="59"/>
  </r>
  <r>
    <n v="74"/>
    <n v="35"/>
    <x v="0"/>
    <n v="42490"/>
    <n v="12329"/>
    <n v="442"/>
    <x v="0"/>
    <x v="0"/>
    <x v="1"/>
    <x v="60"/>
  </r>
  <r>
    <n v="75"/>
    <n v="21"/>
    <x v="0"/>
    <n v="77233"/>
    <n v="3159"/>
    <n v="772"/>
    <x v="1"/>
    <x v="2"/>
    <x v="2"/>
    <x v="61"/>
  </r>
  <r>
    <n v="77"/>
    <n v="27"/>
    <x v="1"/>
    <n v="41723"/>
    <n v="19931"/>
    <n v="627"/>
    <x v="0"/>
    <x v="0"/>
    <x v="1"/>
    <x v="62"/>
  </r>
  <r>
    <n v="78"/>
    <n v="29"/>
    <x v="0"/>
    <n v="38279"/>
    <n v="15933"/>
    <n v="510"/>
    <x v="0"/>
    <x v="0"/>
    <x v="1"/>
    <x v="63"/>
  </r>
  <r>
    <n v="79"/>
    <n v="44"/>
    <x v="1"/>
    <n v="27765"/>
    <n v="11473"/>
    <n v="706"/>
    <x v="0"/>
    <x v="1"/>
    <x v="0"/>
    <x v="64"/>
  </r>
  <r>
    <n v="80"/>
    <n v="21"/>
    <x v="0"/>
    <n v="61678"/>
    <n v="11805"/>
    <n v="559"/>
    <x v="0"/>
    <x v="0"/>
    <x v="2"/>
    <x v="65"/>
  </r>
  <r>
    <n v="81"/>
    <n v="28"/>
    <x v="1"/>
    <n v="26561"/>
    <n v="4083"/>
    <n v="730"/>
    <x v="1"/>
    <x v="1"/>
    <x v="0"/>
    <x v="66"/>
  </r>
  <r>
    <n v="82"/>
    <n v="44"/>
    <x v="1"/>
    <n v="56899"/>
    <n v="18421"/>
    <n v="663"/>
    <x v="0"/>
    <x v="1"/>
    <x v="1"/>
    <x v="67"/>
  </r>
  <r>
    <n v="83"/>
    <n v="31"/>
    <x v="1"/>
    <n v="15525"/>
    <n v="14944"/>
    <n v="624"/>
    <x v="0"/>
    <x v="0"/>
    <x v="0"/>
    <x v="68"/>
  </r>
  <r>
    <n v="84"/>
    <n v="37"/>
    <x v="1"/>
    <n v="37861"/>
    <n v="8604"/>
    <n v="616"/>
    <x v="0"/>
    <x v="0"/>
    <x v="1"/>
    <x v="69"/>
  </r>
  <r>
    <n v="87"/>
    <n v="55"/>
    <x v="0"/>
    <n v="41916"/>
    <n v="2778"/>
    <n v="458"/>
    <x v="0"/>
    <x v="0"/>
    <x v="1"/>
    <x v="70"/>
  </r>
  <r>
    <n v="88"/>
    <n v="53"/>
    <x v="1"/>
    <n v="79324"/>
    <n v="6110"/>
    <n v="531"/>
    <x v="0"/>
    <x v="0"/>
    <x v="2"/>
    <x v="71"/>
  </r>
  <r>
    <n v="89"/>
    <n v="25"/>
    <x v="0"/>
    <n v="59965"/>
    <n v="13087"/>
    <n v="503"/>
    <x v="0"/>
    <x v="0"/>
    <x v="1"/>
    <x v="72"/>
  </r>
  <r>
    <n v="90"/>
    <n v="59"/>
    <x v="0"/>
    <n v="75396"/>
    <n v="18508"/>
    <n v="594"/>
    <x v="0"/>
    <x v="0"/>
    <x v="2"/>
    <x v="73"/>
  </r>
  <r>
    <n v="91"/>
    <n v="48"/>
    <x v="0"/>
    <n v="19648"/>
    <n v="18081"/>
    <n v="812"/>
    <x v="0"/>
    <x v="2"/>
    <x v="0"/>
    <x v="74"/>
  </r>
  <r>
    <n v="92"/>
    <n v="27"/>
    <x v="1"/>
    <n v="50133"/>
    <n v="3179"/>
    <n v="556"/>
    <x v="0"/>
    <x v="0"/>
    <x v="1"/>
    <x v="75"/>
  </r>
  <r>
    <n v="93"/>
    <n v="29"/>
    <x v="1"/>
    <n v="65677"/>
    <n v="10596"/>
    <n v="497"/>
    <x v="0"/>
    <x v="0"/>
    <x v="2"/>
    <x v="76"/>
  </r>
  <r>
    <n v="94"/>
    <n v="28"/>
    <x v="1"/>
    <n v="45523"/>
    <n v="6251"/>
    <n v="625"/>
    <x v="0"/>
    <x v="0"/>
    <x v="1"/>
    <x v="77"/>
  </r>
  <r>
    <n v="95"/>
    <n v="32"/>
    <x v="0"/>
    <n v="44052"/>
    <n v="10235"/>
    <n v="811"/>
    <x v="1"/>
    <x v="2"/>
    <x v="1"/>
    <x v="78"/>
  </r>
  <r>
    <n v="96"/>
    <n v="54"/>
    <x v="0"/>
    <n v="49414"/>
    <n v="19313"/>
    <n v="604"/>
    <x v="0"/>
    <x v="0"/>
    <x v="1"/>
    <x v="79"/>
  </r>
  <r>
    <n v="98"/>
    <n v="43"/>
    <x v="1"/>
    <n v="19599"/>
    <n v="2013"/>
    <n v="523"/>
    <x v="0"/>
    <x v="0"/>
    <x v="0"/>
    <x v="80"/>
  </r>
  <r>
    <n v="99"/>
    <n v="44"/>
    <x v="1"/>
    <n v="50046"/>
    <n v="17610"/>
    <n v="827"/>
    <x v="1"/>
    <x v="2"/>
    <x v="1"/>
    <x v="81"/>
  </r>
  <r>
    <n v="100"/>
    <n v="57"/>
    <x v="0"/>
    <n v="62064"/>
    <n v="2828"/>
    <n v="617"/>
    <x v="0"/>
    <x v="0"/>
    <x v="2"/>
    <x v="82"/>
  </r>
  <r>
    <n v="101"/>
    <n v="55"/>
    <x v="1"/>
    <n v="50923"/>
    <n v="8909"/>
    <n v="403"/>
    <x v="0"/>
    <x v="0"/>
    <x v="1"/>
    <x v="83"/>
  </r>
  <r>
    <n v="102"/>
    <n v="42"/>
    <x v="1"/>
    <n v="48500"/>
    <n v="6588"/>
    <n v="489"/>
    <x v="0"/>
    <x v="0"/>
    <x v="1"/>
    <x v="84"/>
  </r>
  <r>
    <n v="103"/>
    <n v="47"/>
    <x v="1"/>
    <n v="18814"/>
    <n v="14109"/>
    <n v="503"/>
    <x v="0"/>
    <x v="0"/>
    <x v="0"/>
    <x v="85"/>
  </r>
  <r>
    <n v="104"/>
    <n v="55"/>
    <x v="1"/>
    <n v="60893"/>
    <n v="3023"/>
    <n v="792"/>
    <x v="1"/>
    <x v="2"/>
    <x v="2"/>
    <x v="86"/>
  </r>
  <r>
    <n v="105"/>
    <n v="21"/>
    <x v="0"/>
    <n v="50984"/>
    <n v="15537"/>
    <n v="518"/>
    <x v="0"/>
    <x v="0"/>
    <x v="1"/>
    <x v="87"/>
  </r>
  <r>
    <n v="107"/>
    <n v="57"/>
    <x v="1"/>
    <n v="76272"/>
    <n v="2080"/>
    <n v="711"/>
    <x v="1"/>
    <x v="1"/>
    <x v="2"/>
    <x v="88"/>
  </r>
  <r>
    <n v="108"/>
    <n v="34"/>
    <x v="1"/>
    <n v="41616"/>
    <n v="6036"/>
    <n v="495"/>
    <x v="0"/>
    <x v="0"/>
    <x v="1"/>
    <x v="89"/>
  </r>
  <r>
    <n v="109"/>
    <n v="23"/>
    <x v="1"/>
    <n v="72371"/>
    <n v="16379"/>
    <n v="833"/>
    <x v="1"/>
    <x v="2"/>
    <x v="2"/>
    <x v="90"/>
  </r>
  <r>
    <n v="110"/>
    <n v="21"/>
    <x v="0"/>
    <n v="17113"/>
    <n v="11822"/>
    <n v="730"/>
    <x v="0"/>
    <x v="1"/>
    <x v="0"/>
    <x v="91"/>
  </r>
  <r>
    <n v="112"/>
    <n v="46"/>
    <x v="1"/>
    <n v="73596"/>
    <n v="4292"/>
    <n v="687"/>
    <x v="1"/>
    <x v="1"/>
    <x v="2"/>
    <x v="92"/>
  </r>
  <r>
    <n v="113"/>
    <n v="34"/>
    <x v="1"/>
    <n v="68508"/>
    <n v="4586"/>
    <n v="427"/>
    <x v="0"/>
    <x v="0"/>
    <x v="2"/>
    <x v="93"/>
  </r>
  <r>
    <n v="114"/>
    <n v="59"/>
    <x v="1"/>
    <n v="58006"/>
    <n v="17087"/>
    <n v="677"/>
    <x v="0"/>
    <x v="1"/>
    <x v="1"/>
    <x v="94"/>
  </r>
  <r>
    <n v="115"/>
    <n v="47"/>
    <x v="1"/>
    <n v="28760"/>
    <n v="17100"/>
    <n v="632"/>
    <x v="0"/>
    <x v="0"/>
    <x v="0"/>
    <x v="95"/>
  </r>
  <r>
    <n v="116"/>
    <n v="29"/>
    <x v="1"/>
    <n v="36927"/>
    <n v="7643"/>
    <n v="416"/>
    <x v="0"/>
    <x v="0"/>
    <x v="1"/>
    <x v="96"/>
  </r>
  <r>
    <n v="118"/>
    <n v="35"/>
    <x v="0"/>
    <n v="76367"/>
    <n v="12005"/>
    <n v="489"/>
    <x v="0"/>
    <x v="0"/>
    <x v="2"/>
    <x v="97"/>
  </r>
  <r>
    <n v="119"/>
    <n v="46"/>
    <x v="1"/>
    <n v="47419"/>
    <n v="11775"/>
    <n v="598"/>
    <x v="0"/>
    <x v="0"/>
    <x v="1"/>
    <x v="98"/>
  </r>
  <r>
    <n v="121"/>
    <n v="52"/>
    <x v="0"/>
    <n v="71214"/>
    <n v="17029"/>
    <n v="840"/>
    <x v="1"/>
    <x v="2"/>
    <x v="2"/>
    <x v="99"/>
  </r>
  <r>
    <n v="122"/>
    <n v="59"/>
    <x v="1"/>
    <n v="51142"/>
    <n v="17977"/>
    <n v="425"/>
    <x v="0"/>
    <x v="0"/>
    <x v="1"/>
    <x v="100"/>
  </r>
  <r>
    <n v="123"/>
    <n v="52"/>
    <x v="0"/>
    <n v="54198"/>
    <n v="15226"/>
    <n v="424"/>
    <x v="0"/>
    <x v="0"/>
    <x v="1"/>
    <x v="101"/>
  </r>
  <r>
    <n v="124"/>
    <n v="24"/>
    <x v="0"/>
    <n v="67618"/>
    <n v="12154"/>
    <n v="793"/>
    <x v="1"/>
    <x v="2"/>
    <x v="2"/>
    <x v="102"/>
  </r>
  <r>
    <n v="125"/>
    <n v="50"/>
    <x v="0"/>
    <n v="67233"/>
    <n v="13080"/>
    <n v="700"/>
    <x v="1"/>
    <x v="1"/>
    <x v="2"/>
    <x v="103"/>
  </r>
  <r>
    <n v="127"/>
    <n v="43"/>
    <x v="0"/>
    <n v="48397"/>
    <n v="6997"/>
    <n v="666"/>
    <x v="0"/>
    <x v="1"/>
    <x v="1"/>
    <x v="104"/>
  </r>
  <r>
    <n v="128"/>
    <n v="59"/>
    <x v="0"/>
    <n v="31653"/>
    <n v="13693"/>
    <n v="580"/>
    <x v="0"/>
    <x v="0"/>
    <x v="1"/>
    <x v="105"/>
  </r>
  <r>
    <n v="129"/>
    <n v="35"/>
    <x v="1"/>
    <n v="25831"/>
    <n v="18047"/>
    <n v="759"/>
    <x v="0"/>
    <x v="2"/>
    <x v="0"/>
    <x v="106"/>
  </r>
  <r>
    <n v="130"/>
    <n v="49"/>
    <x v="0"/>
    <n v="74337"/>
    <n v="10324"/>
    <n v="467"/>
    <x v="0"/>
    <x v="0"/>
    <x v="2"/>
    <x v="107"/>
  </r>
  <r>
    <n v="131"/>
    <n v="56"/>
    <x v="0"/>
    <n v="20724"/>
    <n v="1541"/>
    <n v="750"/>
    <x v="0"/>
    <x v="2"/>
    <x v="0"/>
    <x v="108"/>
  </r>
  <r>
    <n v="133"/>
    <n v="52"/>
    <x v="1"/>
    <n v="48500"/>
    <n v="14428"/>
    <n v="720"/>
    <x v="0"/>
    <x v="1"/>
    <x v="1"/>
    <x v="109"/>
  </r>
  <r>
    <n v="134"/>
    <n v="27"/>
    <x v="0"/>
    <n v="60917"/>
    <n v="12166"/>
    <n v="448"/>
    <x v="0"/>
    <x v="0"/>
    <x v="2"/>
    <x v="110"/>
  </r>
  <r>
    <n v="135"/>
    <n v="42"/>
    <x v="1"/>
    <n v="34816"/>
    <n v="18251"/>
    <n v="574"/>
    <x v="0"/>
    <x v="0"/>
    <x v="1"/>
    <x v="111"/>
  </r>
  <r>
    <n v="136"/>
    <n v="48"/>
    <x v="0"/>
    <n v="57240"/>
    <n v="17063"/>
    <n v="451"/>
    <x v="0"/>
    <x v="0"/>
    <x v="1"/>
    <x v="112"/>
  </r>
  <r>
    <n v="137"/>
    <n v="22"/>
    <x v="1"/>
    <n v="21276"/>
    <n v="11258"/>
    <n v="501"/>
    <x v="0"/>
    <x v="0"/>
    <x v="0"/>
    <x v="113"/>
  </r>
  <r>
    <n v="138"/>
    <n v="26"/>
    <x v="1"/>
    <n v="48500"/>
    <n v="17044"/>
    <n v="615"/>
    <x v="0"/>
    <x v="0"/>
    <x v="1"/>
    <x v="114"/>
  </r>
  <r>
    <n v="139"/>
    <n v="48"/>
    <x v="0"/>
    <n v="53663"/>
    <n v="6469"/>
    <n v="837"/>
    <x v="1"/>
    <x v="2"/>
    <x v="1"/>
    <x v="115"/>
  </r>
  <r>
    <n v="140"/>
    <n v="48"/>
    <x v="0"/>
    <n v="28994"/>
    <n v="7256"/>
    <n v="587"/>
    <x v="0"/>
    <x v="0"/>
    <x v="0"/>
    <x v="116"/>
  </r>
  <r>
    <n v="141"/>
    <n v="40"/>
    <x v="1"/>
    <n v="38499"/>
    <n v="11720"/>
    <n v="456"/>
    <x v="0"/>
    <x v="0"/>
    <x v="1"/>
    <x v="117"/>
  </r>
  <r>
    <n v="142"/>
    <n v="50"/>
    <x v="0"/>
    <n v="48500"/>
    <n v="2169"/>
    <n v="446"/>
    <x v="0"/>
    <x v="0"/>
    <x v="1"/>
    <x v="118"/>
  </r>
  <r>
    <n v="144"/>
    <n v="48"/>
    <x v="1"/>
    <n v="31959"/>
    <n v="2651"/>
    <n v="573"/>
    <x v="0"/>
    <x v="0"/>
    <x v="1"/>
    <x v="119"/>
  </r>
  <r>
    <n v="145"/>
    <n v="45"/>
    <x v="1"/>
    <n v="71181"/>
    <n v="18520"/>
    <n v="641"/>
    <x v="0"/>
    <x v="0"/>
    <x v="2"/>
    <x v="120"/>
  </r>
  <r>
    <n v="147"/>
    <n v="53"/>
    <x v="1"/>
    <n v="57267"/>
    <n v="14258"/>
    <n v="640"/>
    <x v="0"/>
    <x v="0"/>
    <x v="1"/>
    <x v="121"/>
  </r>
  <r>
    <n v="149"/>
    <n v="47"/>
    <x v="1"/>
    <n v="50946"/>
    <n v="2019"/>
    <n v="404"/>
    <x v="0"/>
    <x v="0"/>
    <x v="1"/>
    <x v="122"/>
  </r>
  <r>
    <n v="150"/>
    <n v="33"/>
    <x v="1"/>
    <n v="70204"/>
    <n v="11028"/>
    <n v="483"/>
    <x v="0"/>
    <x v="0"/>
    <x v="2"/>
    <x v="123"/>
  </r>
  <r>
    <n v="151"/>
    <n v="23"/>
    <x v="0"/>
    <n v="66886"/>
    <n v="13448"/>
    <n v="707"/>
    <x v="1"/>
    <x v="1"/>
    <x v="2"/>
    <x v="124"/>
  </r>
  <r>
    <n v="152"/>
    <n v="59"/>
    <x v="1"/>
    <n v="21116"/>
    <n v="13485"/>
    <n v="760"/>
    <x v="0"/>
    <x v="2"/>
    <x v="0"/>
    <x v="125"/>
  </r>
  <r>
    <n v="153"/>
    <n v="26"/>
    <x v="0"/>
    <n v="30563"/>
    <n v="2283"/>
    <n v="647"/>
    <x v="0"/>
    <x v="0"/>
    <x v="1"/>
    <x v="126"/>
  </r>
  <r>
    <n v="155"/>
    <n v="47"/>
    <x v="0"/>
    <n v="41928"/>
    <n v="19394"/>
    <n v="560"/>
    <x v="0"/>
    <x v="0"/>
    <x v="1"/>
    <x v="127"/>
  </r>
  <r>
    <n v="156"/>
    <n v="29"/>
    <x v="1"/>
    <n v="51336"/>
    <n v="2733"/>
    <n v="833"/>
    <x v="1"/>
    <x v="2"/>
    <x v="1"/>
    <x v="128"/>
  </r>
  <r>
    <n v="158"/>
    <n v="53"/>
    <x v="1"/>
    <n v="41155"/>
    <n v="19555"/>
    <n v="810"/>
    <x v="0"/>
    <x v="2"/>
    <x v="1"/>
    <x v="129"/>
  </r>
  <r>
    <n v="159"/>
    <n v="44"/>
    <x v="0"/>
    <n v="29135"/>
    <n v="17230"/>
    <n v="625"/>
    <x v="0"/>
    <x v="0"/>
    <x v="0"/>
    <x v="130"/>
  </r>
  <r>
    <n v="160"/>
    <n v="35"/>
    <x v="1"/>
    <n v="66355"/>
    <n v="15472"/>
    <n v="414"/>
    <x v="0"/>
    <x v="0"/>
    <x v="2"/>
    <x v="131"/>
  </r>
  <r>
    <n v="161"/>
    <n v="52"/>
    <x v="0"/>
    <n v="32774"/>
    <n v="13889"/>
    <n v="623"/>
    <x v="0"/>
    <x v="0"/>
    <x v="1"/>
    <x v="132"/>
  </r>
  <r>
    <n v="162"/>
    <n v="52"/>
    <x v="1"/>
    <n v="16742"/>
    <n v="4471"/>
    <n v="460"/>
    <x v="0"/>
    <x v="0"/>
    <x v="0"/>
    <x v="133"/>
  </r>
  <r>
    <n v="163"/>
    <n v="44"/>
    <x v="0"/>
    <n v="33309"/>
    <n v="10028"/>
    <n v="521"/>
    <x v="0"/>
    <x v="0"/>
    <x v="1"/>
    <x v="134"/>
  </r>
  <r>
    <n v="164"/>
    <n v="32"/>
    <x v="1"/>
    <n v="15619"/>
    <n v="9329"/>
    <n v="676"/>
    <x v="0"/>
    <x v="1"/>
    <x v="0"/>
    <x v="135"/>
  </r>
  <r>
    <n v="165"/>
    <n v="59"/>
    <x v="1"/>
    <n v="32658"/>
    <n v="3097"/>
    <n v="445"/>
    <x v="0"/>
    <x v="0"/>
    <x v="1"/>
    <x v="136"/>
  </r>
  <r>
    <n v="166"/>
    <n v="22"/>
    <x v="1"/>
    <n v="65108"/>
    <n v="15082"/>
    <n v="789"/>
    <x v="1"/>
    <x v="2"/>
    <x v="2"/>
    <x v="137"/>
  </r>
  <r>
    <n v="167"/>
    <n v="23"/>
    <x v="0"/>
    <n v="49707"/>
    <n v="14930"/>
    <n v="693"/>
    <x v="1"/>
    <x v="1"/>
    <x v="1"/>
    <x v="138"/>
  </r>
  <r>
    <n v="168"/>
    <n v="57"/>
    <x v="0"/>
    <n v="35337"/>
    <n v="11077"/>
    <n v="461"/>
    <x v="0"/>
    <x v="0"/>
    <x v="1"/>
    <x v="139"/>
  </r>
  <r>
    <n v="169"/>
    <n v="37"/>
    <x v="1"/>
    <n v="74725"/>
    <n v="7397"/>
    <n v="485"/>
    <x v="0"/>
    <x v="0"/>
    <x v="2"/>
    <x v="140"/>
  </r>
  <r>
    <n v="170"/>
    <n v="22"/>
    <x v="1"/>
    <n v="31001"/>
    <n v="3757"/>
    <n v="845"/>
    <x v="1"/>
    <x v="2"/>
    <x v="1"/>
    <x v="141"/>
  </r>
  <r>
    <n v="171"/>
    <n v="22"/>
    <x v="0"/>
    <n v="15968"/>
    <n v="19284"/>
    <n v="609"/>
    <x v="0"/>
    <x v="0"/>
    <x v="0"/>
    <x v="142"/>
  </r>
  <r>
    <n v="172"/>
    <n v="48"/>
    <x v="0"/>
    <n v="62614"/>
    <n v="19994"/>
    <n v="477"/>
    <x v="0"/>
    <x v="0"/>
    <x v="2"/>
    <x v="143"/>
  </r>
  <r>
    <n v="176"/>
    <n v="53"/>
    <x v="1"/>
    <n v="42420"/>
    <n v="8999"/>
    <n v="622"/>
    <x v="0"/>
    <x v="0"/>
    <x v="1"/>
    <x v="144"/>
  </r>
  <r>
    <n v="177"/>
    <n v="21"/>
    <x v="0"/>
    <n v="30360"/>
    <n v="11195"/>
    <n v="621"/>
    <x v="0"/>
    <x v="0"/>
    <x v="1"/>
    <x v="145"/>
  </r>
  <r>
    <n v="178"/>
    <n v="39"/>
    <x v="1"/>
    <n v="54030"/>
    <n v="3096"/>
    <n v="402"/>
    <x v="0"/>
    <x v="0"/>
    <x v="1"/>
    <x v="146"/>
  </r>
  <r>
    <n v="179"/>
    <n v="22"/>
    <x v="0"/>
    <n v="16058"/>
    <n v="16433"/>
    <n v="405"/>
    <x v="0"/>
    <x v="0"/>
    <x v="0"/>
    <x v="147"/>
  </r>
  <r>
    <n v="180"/>
    <n v="46"/>
    <x v="0"/>
    <n v="35677"/>
    <n v="11595"/>
    <n v="492"/>
    <x v="0"/>
    <x v="0"/>
    <x v="1"/>
    <x v="148"/>
  </r>
  <r>
    <n v="181"/>
    <n v="52"/>
    <x v="0"/>
    <n v="25724"/>
    <n v="16941"/>
    <n v="407"/>
    <x v="0"/>
    <x v="0"/>
    <x v="0"/>
    <x v="149"/>
  </r>
  <r>
    <n v="182"/>
    <n v="26"/>
    <x v="0"/>
    <n v="43404"/>
    <n v="16078"/>
    <n v="827"/>
    <x v="1"/>
    <x v="2"/>
    <x v="1"/>
    <x v="150"/>
  </r>
  <r>
    <n v="184"/>
    <n v="24"/>
    <x v="1"/>
    <n v="48500"/>
    <n v="3839"/>
    <n v="507"/>
    <x v="0"/>
    <x v="0"/>
    <x v="1"/>
    <x v="151"/>
  </r>
  <r>
    <n v="185"/>
    <n v="31"/>
    <x v="0"/>
    <n v="44856"/>
    <n v="4384"/>
    <n v="560"/>
    <x v="0"/>
    <x v="0"/>
    <x v="1"/>
    <x v="152"/>
  </r>
  <r>
    <n v="186"/>
    <n v="37"/>
    <x v="0"/>
    <n v="24200"/>
    <n v="11851"/>
    <n v="608"/>
    <x v="0"/>
    <x v="0"/>
    <x v="0"/>
    <x v="153"/>
  </r>
  <r>
    <n v="187"/>
    <n v="58"/>
    <x v="0"/>
    <n v="79178"/>
    <n v="11053"/>
    <n v="639"/>
    <x v="0"/>
    <x v="0"/>
    <x v="2"/>
    <x v="154"/>
  </r>
  <r>
    <n v="188"/>
    <n v="44"/>
    <x v="1"/>
    <n v="48997"/>
    <n v="14493"/>
    <n v="730"/>
    <x v="1"/>
    <x v="1"/>
    <x v="1"/>
    <x v="155"/>
  </r>
  <r>
    <n v="189"/>
    <n v="25"/>
    <x v="0"/>
    <n v="40611"/>
    <n v="18069"/>
    <n v="732"/>
    <x v="0"/>
    <x v="1"/>
    <x v="1"/>
    <x v="156"/>
  </r>
  <r>
    <n v="190"/>
    <n v="54"/>
    <x v="1"/>
    <n v="68737"/>
    <n v="15139"/>
    <n v="449"/>
    <x v="0"/>
    <x v="0"/>
    <x v="2"/>
    <x v="157"/>
  </r>
  <r>
    <n v="191"/>
    <n v="26"/>
    <x v="0"/>
    <n v="56235"/>
    <n v="8531"/>
    <n v="410"/>
    <x v="0"/>
    <x v="0"/>
    <x v="1"/>
    <x v="158"/>
  </r>
  <r>
    <n v="192"/>
    <n v="42"/>
    <x v="0"/>
    <n v="66892"/>
    <n v="5283"/>
    <n v="750"/>
    <x v="1"/>
    <x v="2"/>
    <x v="2"/>
    <x v="159"/>
  </r>
  <r>
    <n v="193"/>
    <n v="31"/>
    <x v="1"/>
    <n v="50057"/>
    <n v="8736"/>
    <n v="555"/>
    <x v="0"/>
    <x v="0"/>
    <x v="1"/>
    <x v="160"/>
  </r>
  <r>
    <n v="194"/>
    <n v="36"/>
    <x v="0"/>
    <n v="16239"/>
    <n v="8710"/>
    <n v="469"/>
    <x v="0"/>
    <x v="0"/>
    <x v="0"/>
    <x v="161"/>
  </r>
  <r>
    <n v="195"/>
    <n v="53"/>
    <x v="1"/>
    <n v="53138"/>
    <n v="2619"/>
    <n v="568"/>
    <x v="0"/>
    <x v="0"/>
    <x v="1"/>
    <x v="162"/>
  </r>
  <r>
    <n v="196"/>
    <n v="29"/>
    <x v="1"/>
    <n v="48500"/>
    <n v="14975"/>
    <n v="671"/>
    <x v="0"/>
    <x v="1"/>
    <x v="1"/>
    <x v="163"/>
  </r>
  <r>
    <n v="197"/>
    <n v="26"/>
    <x v="0"/>
    <n v="15125"/>
    <n v="13835"/>
    <n v="467"/>
    <x v="0"/>
    <x v="0"/>
    <x v="0"/>
    <x v="164"/>
  </r>
  <r>
    <n v="200"/>
    <n v="23"/>
    <x v="0"/>
    <n v="38857"/>
    <n v="10067"/>
    <n v="447"/>
    <x v="0"/>
    <x v="0"/>
    <x v="1"/>
    <x v="165"/>
  </r>
  <r>
    <n v="201"/>
    <n v="40"/>
    <x v="1"/>
    <n v="76212"/>
    <n v="5713"/>
    <n v="583"/>
    <x v="0"/>
    <x v="0"/>
    <x v="2"/>
    <x v="166"/>
  </r>
  <r>
    <n v="202"/>
    <n v="56"/>
    <x v="1"/>
    <n v="48500"/>
    <n v="10557"/>
    <n v="719"/>
    <x v="1"/>
    <x v="1"/>
    <x v="1"/>
    <x v="167"/>
  </r>
  <r>
    <n v="203"/>
    <n v="39"/>
    <x v="1"/>
    <n v="30398"/>
    <n v="10435"/>
    <n v="586"/>
    <x v="0"/>
    <x v="0"/>
    <x v="1"/>
    <x v="168"/>
  </r>
  <r>
    <n v="204"/>
    <n v="46"/>
    <x v="1"/>
    <n v="69494"/>
    <n v="5998"/>
    <n v="489"/>
    <x v="0"/>
    <x v="0"/>
    <x v="2"/>
    <x v="169"/>
  </r>
  <r>
    <n v="206"/>
    <n v="39"/>
    <x v="0"/>
    <n v="21638"/>
    <n v="2974"/>
    <n v="731"/>
    <x v="0"/>
    <x v="1"/>
    <x v="0"/>
    <x v="170"/>
  </r>
  <r>
    <n v="207"/>
    <n v="40"/>
    <x v="1"/>
    <n v="21570"/>
    <n v="9461"/>
    <n v="538"/>
    <x v="0"/>
    <x v="0"/>
    <x v="0"/>
    <x v="171"/>
  </r>
  <r>
    <n v="208"/>
    <n v="52"/>
    <x v="0"/>
    <n v="18249"/>
    <n v="18015"/>
    <n v="756"/>
    <x v="0"/>
    <x v="2"/>
    <x v="0"/>
    <x v="172"/>
  </r>
  <r>
    <n v="209"/>
    <n v="27"/>
    <x v="0"/>
    <n v="24110"/>
    <n v="18289"/>
    <n v="488"/>
    <x v="0"/>
    <x v="0"/>
    <x v="0"/>
    <x v="173"/>
  </r>
  <r>
    <n v="210"/>
    <n v="53"/>
    <x v="0"/>
    <n v="55363"/>
    <n v="3014"/>
    <n v="673"/>
    <x v="0"/>
    <x v="1"/>
    <x v="1"/>
    <x v="174"/>
  </r>
  <r>
    <n v="211"/>
    <n v="59"/>
    <x v="0"/>
    <n v="28605"/>
    <n v="10833"/>
    <n v="418"/>
    <x v="0"/>
    <x v="0"/>
    <x v="0"/>
    <x v="175"/>
  </r>
  <r>
    <n v="212"/>
    <n v="38"/>
    <x v="1"/>
    <n v="27115"/>
    <n v="8896"/>
    <n v="710"/>
    <x v="1"/>
    <x v="1"/>
    <x v="0"/>
    <x v="176"/>
  </r>
  <r>
    <n v="214"/>
    <n v="31"/>
    <x v="0"/>
    <n v="37911"/>
    <n v="17965"/>
    <n v="773"/>
    <x v="0"/>
    <x v="2"/>
    <x v="1"/>
    <x v="177"/>
  </r>
  <r>
    <n v="215"/>
    <n v="48"/>
    <x v="1"/>
    <n v="53525"/>
    <n v="10032"/>
    <n v="553"/>
    <x v="0"/>
    <x v="0"/>
    <x v="1"/>
    <x v="178"/>
  </r>
  <r>
    <n v="216"/>
    <n v="45"/>
    <x v="1"/>
    <n v="47556"/>
    <n v="6347"/>
    <n v="789"/>
    <x v="1"/>
    <x v="2"/>
    <x v="1"/>
    <x v="179"/>
  </r>
  <r>
    <n v="217"/>
    <n v="43"/>
    <x v="1"/>
    <n v="27595"/>
    <n v="3643"/>
    <n v="659"/>
    <x v="0"/>
    <x v="1"/>
    <x v="0"/>
    <x v="180"/>
  </r>
  <r>
    <n v="218"/>
    <n v="51"/>
    <x v="0"/>
    <n v="77799"/>
    <n v="9017"/>
    <n v="507"/>
    <x v="0"/>
    <x v="0"/>
    <x v="2"/>
    <x v="181"/>
  </r>
  <r>
    <n v="219"/>
    <n v="50"/>
    <x v="0"/>
    <n v="16969"/>
    <n v="19681"/>
    <n v="770"/>
    <x v="0"/>
    <x v="2"/>
    <x v="0"/>
    <x v="182"/>
  </r>
  <r>
    <n v="220"/>
    <n v="55"/>
    <x v="0"/>
    <n v="58753"/>
    <n v="18258"/>
    <n v="684"/>
    <x v="1"/>
    <x v="1"/>
    <x v="1"/>
    <x v="183"/>
  </r>
  <r>
    <n v="221"/>
    <n v="27"/>
    <x v="1"/>
    <n v="32275"/>
    <n v="6560"/>
    <n v="458"/>
    <x v="0"/>
    <x v="0"/>
    <x v="1"/>
    <x v="184"/>
  </r>
  <r>
    <n v="222"/>
    <n v="36"/>
    <x v="0"/>
    <n v="19470"/>
    <n v="16892"/>
    <n v="524"/>
    <x v="0"/>
    <x v="0"/>
    <x v="0"/>
    <x v="185"/>
  </r>
  <r>
    <n v="223"/>
    <n v="46"/>
    <x v="0"/>
    <n v="71327"/>
    <n v="15531"/>
    <n v="753"/>
    <x v="1"/>
    <x v="2"/>
    <x v="2"/>
    <x v="186"/>
  </r>
  <r>
    <n v="224"/>
    <n v="22"/>
    <x v="1"/>
    <n v="25225"/>
    <n v="18073"/>
    <n v="672"/>
    <x v="0"/>
    <x v="1"/>
    <x v="0"/>
    <x v="187"/>
  </r>
  <r>
    <n v="225"/>
    <n v="21"/>
    <x v="0"/>
    <n v="48500"/>
    <n v="5000"/>
    <n v="506"/>
    <x v="0"/>
    <x v="0"/>
    <x v="1"/>
    <x v="188"/>
  </r>
  <r>
    <n v="226"/>
    <n v="32"/>
    <x v="0"/>
    <n v="72472"/>
    <n v="15289"/>
    <n v="698"/>
    <x v="1"/>
    <x v="1"/>
    <x v="2"/>
    <x v="189"/>
  </r>
  <r>
    <n v="227"/>
    <n v="25"/>
    <x v="1"/>
    <n v="56974"/>
    <n v="18055"/>
    <n v="644"/>
    <x v="0"/>
    <x v="0"/>
    <x v="1"/>
    <x v="190"/>
  </r>
  <r>
    <n v="228"/>
    <n v="57"/>
    <x v="1"/>
    <n v="57759"/>
    <n v="8927"/>
    <n v="735"/>
    <x v="1"/>
    <x v="1"/>
    <x v="1"/>
    <x v="191"/>
  </r>
  <r>
    <n v="229"/>
    <n v="52"/>
    <x v="1"/>
    <n v="38196"/>
    <n v="16562"/>
    <n v="849"/>
    <x v="0"/>
    <x v="2"/>
    <x v="1"/>
    <x v="192"/>
  </r>
  <r>
    <n v="230"/>
    <n v="29"/>
    <x v="0"/>
    <n v="55287"/>
    <n v="2171"/>
    <n v="817"/>
    <x v="1"/>
    <x v="2"/>
    <x v="1"/>
    <x v="193"/>
  </r>
  <r>
    <n v="232"/>
    <n v="39"/>
    <x v="0"/>
    <n v="52380"/>
    <n v="10135"/>
    <n v="407"/>
    <x v="0"/>
    <x v="0"/>
    <x v="1"/>
    <x v="194"/>
  </r>
  <r>
    <n v="233"/>
    <n v="36"/>
    <x v="1"/>
    <n v="73862"/>
    <n v="7342"/>
    <n v="540"/>
    <x v="0"/>
    <x v="0"/>
    <x v="2"/>
    <x v="195"/>
  </r>
  <r>
    <n v="234"/>
    <n v="23"/>
    <x v="1"/>
    <n v="60141"/>
    <n v="18833"/>
    <n v="761"/>
    <x v="1"/>
    <x v="2"/>
    <x v="2"/>
    <x v="196"/>
  </r>
  <r>
    <n v="235"/>
    <n v="40"/>
    <x v="0"/>
    <n v="65350"/>
    <n v="12929"/>
    <n v="407"/>
    <x v="0"/>
    <x v="0"/>
    <x v="2"/>
    <x v="197"/>
  </r>
  <r>
    <n v="236"/>
    <n v="44"/>
    <x v="0"/>
    <n v="76217"/>
    <n v="3539"/>
    <n v="751"/>
    <x v="1"/>
    <x v="2"/>
    <x v="2"/>
    <x v="198"/>
  </r>
  <r>
    <n v="237"/>
    <n v="53"/>
    <x v="1"/>
    <n v="63320"/>
    <n v="4959"/>
    <n v="493"/>
    <x v="0"/>
    <x v="0"/>
    <x v="2"/>
    <x v="199"/>
  </r>
  <r>
    <n v="238"/>
    <n v="44"/>
    <x v="1"/>
    <n v="62414"/>
    <n v="14183"/>
    <n v="720"/>
    <x v="1"/>
    <x v="1"/>
    <x v="2"/>
    <x v="200"/>
  </r>
  <r>
    <n v="239"/>
    <n v="31"/>
    <x v="1"/>
    <n v="53006"/>
    <n v="6432"/>
    <n v="826"/>
    <x v="1"/>
    <x v="2"/>
    <x v="1"/>
    <x v="201"/>
  </r>
  <r>
    <n v="241"/>
    <n v="56"/>
    <x v="0"/>
    <n v="74818"/>
    <n v="2753"/>
    <n v="480"/>
    <x v="0"/>
    <x v="0"/>
    <x v="2"/>
    <x v="202"/>
  </r>
  <r>
    <n v="242"/>
    <n v="58"/>
    <x v="1"/>
    <n v="37473"/>
    <n v="19322"/>
    <n v="586"/>
    <x v="0"/>
    <x v="0"/>
    <x v="1"/>
    <x v="203"/>
  </r>
  <r>
    <n v="243"/>
    <n v="40"/>
    <x v="0"/>
    <n v="75829"/>
    <n v="11123"/>
    <n v="483"/>
    <x v="0"/>
    <x v="0"/>
    <x v="2"/>
    <x v="204"/>
  </r>
  <r>
    <n v="244"/>
    <n v="55"/>
    <x v="0"/>
    <n v="70409"/>
    <n v="17376"/>
    <n v="487"/>
    <x v="0"/>
    <x v="0"/>
    <x v="2"/>
    <x v="205"/>
  </r>
  <r>
    <n v="246"/>
    <n v="55"/>
    <x v="1"/>
    <n v="30504"/>
    <n v="7304"/>
    <n v="741"/>
    <x v="1"/>
    <x v="1"/>
    <x v="1"/>
    <x v="206"/>
  </r>
  <r>
    <n v="247"/>
    <n v="45"/>
    <x v="1"/>
    <n v="39089"/>
    <n v="8345"/>
    <n v="492"/>
    <x v="0"/>
    <x v="0"/>
    <x v="1"/>
    <x v="207"/>
  </r>
  <r>
    <n v="248"/>
    <n v="49"/>
    <x v="1"/>
    <n v="51487"/>
    <n v="16352"/>
    <n v="485"/>
    <x v="0"/>
    <x v="0"/>
    <x v="1"/>
    <x v="208"/>
  </r>
  <r>
    <n v="250"/>
    <n v="38"/>
    <x v="0"/>
    <n v="46463"/>
    <n v="3336"/>
    <n v="536"/>
    <x v="0"/>
    <x v="0"/>
    <x v="1"/>
    <x v="209"/>
  </r>
  <r>
    <n v="251"/>
    <n v="22"/>
    <x v="1"/>
    <n v="59912"/>
    <n v="10879"/>
    <n v="820"/>
    <x v="1"/>
    <x v="2"/>
    <x v="1"/>
    <x v="210"/>
  </r>
  <r>
    <n v="252"/>
    <n v="55"/>
    <x v="1"/>
    <n v="48500"/>
    <n v="1572"/>
    <n v="473"/>
    <x v="0"/>
    <x v="0"/>
    <x v="1"/>
    <x v="211"/>
  </r>
  <r>
    <n v="253"/>
    <n v="36"/>
    <x v="0"/>
    <n v="65138"/>
    <n v="8521"/>
    <n v="435"/>
    <x v="0"/>
    <x v="0"/>
    <x v="2"/>
    <x v="212"/>
  </r>
  <r>
    <n v="254"/>
    <n v="56"/>
    <x v="1"/>
    <n v="57823"/>
    <n v="7171"/>
    <n v="500"/>
    <x v="0"/>
    <x v="0"/>
    <x v="1"/>
    <x v="213"/>
  </r>
  <r>
    <n v="255"/>
    <n v="53"/>
    <x v="0"/>
    <n v="52208"/>
    <n v="19474"/>
    <n v="555"/>
    <x v="0"/>
    <x v="0"/>
    <x v="1"/>
    <x v="214"/>
  </r>
  <r>
    <n v="256"/>
    <n v="24"/>
    <x v="0"/>
    <n v="69061"/>
    <n v="14992"/>
    <n v="825"/>
    <x v="1"/>
    <x v="2"/>
    <x v="2"/>
    <x v="215"/>
  </r>
  <r>
    <n v="257"/>
    <n v="53"/>
    <x v="0"/>
    <n v="45659"/>
    <n v="12861"/>
    <n v="654"/>
    <x v="0"/>
    <x v="1"/>
    <x v="1"/>
    <x v="216"/>
  </r>
  <r>
    <n v="258"/>
    <n v="34"/>
    <x v="0"/>
    <n v="79288"/>
    <n v="13464"/>
    <n v="570"/>
    <x v="0"/>
    <x v="0"/>
    <x v="2"/>
    <x v="217"/>
  </r>
  <r>
    <n v="260"/>
    <n v="40"/>
    <x v="0"/>
    <n v="46890"/>
    <n v="18901"/>
    <n v="569"/>
    <x v="0"/>
    <x v="0"/>
    <x v="1"/>
    <x v="218"/>
  </r>
  <r>
    <n v="262"/>
    <n v="27"/>
    <x v="0"/>
    <n v="62055"/>
    <n v="11849"/>
    <n v="759"/>
    <x v="1"/>
    <x v="2"/>
    <x v="2"/>
    <x v="219"/>
  </r>
  <r>
    <n v="263"/>
    <n v="23"/>
    <x v="1"/>
    <n v="48500"/>
    <n v="4648"/>
    <n v="721"/>
    <x v="1"/>
    <x v="1"/>
    <x v="1"/>
    <x v="220"/>
  </r>
  <r>
    <n v="264"/>
    <n v="37"/>
    <x v="1"/>
    <n v="34508"/>
    <n v="16177"/>
    <n v="454"/>
    <x v="0"/>
    <x v="0"/>
    <x v="1"/>
    <x v="221"/>
  </r>
  <r>
    <n v="266"/>
    <n v="32"/>
    <x v="1"/>
    <n v="28380"/>
    <n v="18921"/>
    <n v="490"/>
    <x v="0"/>
    <x v="0"/>
    <x v="0"/>
    <x v="222"/>
  </r>
  <r>
    <n v="267"/>
    <n v="42"/>
    <x v="0"/>
    <n v="41984"/>
    <n v="15357"/>
    <n v="677"/>
    <x v="0"/>
    <x v="1"/>
    <x v="1"/>
    <x v="223"/>
  </r>
  <r>
    <n v="269"/>
    <n v="50"/>
    <x v="0"/>
    <n v="48500"/>
    <n v="4137"/>
    <n v="554"/>
    <x v="0"/>
    <x v="0"/>
    <x v="1"/>
    <x v="224"/>
  </r>
  <r>
    <n v="270"/>
    <n v="58"/>
    <x v="1"/>
    <n v="51059"/>
    <n v="1097"/>
    <n v="776"/>
    <x v="1"/>
    <x v="2"/>
    <x v="1"/>
    <x v="225"/>
  </r>
  <r>
    <n v="271"/>
    <n v="58"/>
    <x v="1"/>
    <n v="19033"/>
    <n v="12407"/>
    <n v="748"/>
    <x v="0"/>
    <x v="1"/>
    <x v="0"/>
    <x v="226"/>
  </r>
  <r>
    <n v="272"/>
    <n v="28"/>
    <x v="1"/>
    <n v="52873"/>
    <n v="13722"/>
    <n v="763"/>
    <x v="1"/>
    <x v="2"/>
    <x v="1"/>
    <x v="227"/>
  </r>
  <r>
    <n v="273"/>
    <n v="47"/>
    <x v="0"/>
    <n v="32087"/>
    <n v="13924"/>
    <n v="540"/>
    <x v="0"/>
    <x v="0"/>
    <x v="1"/>
    <x v="228"/>
  </r>
  <r>
    <n v="274"/>
    <n v="47"/>
    <x v="1"/>
    <n v="55901"/>
    <n v="4750"/>
    <n v="572"/>
    <x v="0"/>
    <x v="0"/>
    <x v="1"/>
    <x v="229"/>
  </r>
  <r>
    <n v="275"/>
    <n v="54"/>
    <x v="0"/>
    <n v="64726"/>
    <n v="9535"/>
    <n v="409"/>
    <x v="0"/>
    <x v="0"/>
    <x v="2"/>
    <x v="230"/>
  </r>
  <r>
    <n v="276"/>
    <n v="41"/>
    <x v="0"/>
    <n v="20704"/>
    <n v="5666"/>
    <n v="627"/>
    <x v="0"/>
    <x v="0"/>
    <x v="0"/>
    <x v="231"/>
  </r>
  <r>
    <n v="278"/>
    <n v="53"/>
    <x v="1"/>
    <n v="22848"/>
    <n v="17994"/>
    <n v="837"/>
    <x v="0"/>
    <x v="2"/>
    <x v="0"/>
    <x v="232"/>
  </r>
  <r>
    <n v="279"/>
    <n v="48"/>
    <x v="1"/>
    <n v="36592"/>
    <n v="2727"/>
    <n v="647"/>
    <x v="0"/>
    <x v="0"/>
    <x v="1"/>
    <x v="233"/>
  </r>
  <r>
    <n v="281"/>
    <n v="25"/>
    <x v="1"/>
    <n v="21924"/>
    <n v="11800"/>
    <n v="554"/>
    <x v="0"/>
    <x v="0"/>
    <x v="0"/>
    <x v="234"/>
  </r>
  <r>
    <n v="282"/>
    <n v="39"/>
    <x v="0"/>
    <n v="42208"/>
    <n v="6055"/>
    <n v="433"/>
    <x v="0"/>
    <x v="0"/>
    <x v="1"/>
    <x v="235"/>
  </r>
  <r>
    <n v="283"/>
    <n v="24"/>
    <x v="0"/>
    <n v="67980"/>
    <n v="11271"/>
    <n v="528"/>
    <x v="0"/>
    <x v="0"/>
    <x v="2"/>
    <x v="236"/>
  </r>
  <r>
    <n v="285"/>
    <n v="37"/>
    <x v="1"/>
    <n v="34614"/>
    <n v="13819"/>
    <n v="488"/>
    <x v="0"/>
    <x v="0"/>
    <x v="1"/>
    <x v="237"/>
  </r>
  <r>
    <n v="287"/>
    <n v="50"/>
    <x v="0"/>
    <n v="54882"/>
    <n v="10283"/>
    <n v="726"/>
    <x v="1"/>
    <x v="1"/>
    <x v="1"/>
    <x v="238"/>
  </r>
  <r>
    <n v="288"/>
    <n v="49"/>
    <x v="0"/>
    <n v="40923"/>
    <n v="14171"/>
    <n v="640"/>
    <x v="0"/>
    <x v="0"/>
    <x v="1"/>
    <x v="239"/>
  </r>
  <r>
    <n v="289"/>
    <n v="26"/>
    <x v="1"/>
    <n v="76025"/>
    <n v="6774"/>
    <n v="722"/>
    <x v="1"/>
    <x v="1"/>
    <x v="2"/>
    <x v="240"/>
  </r>
  <r>
    <n v="292"/>
    <n v="44"/>
    <x v="0"/>
    <n v="44165"/>
    <n v="19133"/>
    <n v="493"/>
    <x v="0"/>
    <x v="0"/>
    <x v="1"/>
    <x v="241"/>
  </r>
  <r>
    <n v="293"/>
    <n v="49"/>
    <x v="0"/>
    <n v="16667"/>
    <n v="15939"/>
    <n v="562"/>
    <x v="0"/>
    <x v="0"/>
    <x v="0"/>
    <x v="242"/>
  </r>
  <r>
    <n v="294"/>
    <n v="51"/>
    <x v="1"/>
    <n v="41213"/>
    <n v="1781"/>
    <n v="498"/>
    <x v="0"/>
    <x v="0"/>
    <x v="1"/>
    <x v="243"/>
  </r>
  <r>
    <n v="295"/>
    <n v="55"/>
    <x v="0"/>
    <n v="19114"/>
    <n v="17282"/>
    <n v="512"/>
    <x v="0"/>
    <x v="0"/>
    <x v="0"/>
    <x v="244"/>
  </r>
  <r>
    <n v="296"/>
    <n v="53"/>
    <x v="1"/>
    <n v="79965"/>
    <n v="7823"/>
    <n v="758"/>
    <x v="1"/>
    <x v="2"/>
    <x v="2"/>
    <x v="245"/>
  </r>
  <r>
    <n v="297"/>
    <n v="41"/>
    <x v="1"/>
    <n v="51321"/>
    <n v="19489"/>
    <n v="490"/>
    <x v="0"/>
    <x v="0"/>
    <x v="1"/>
    <x v="246"/>
  </r>
  <r>
    <n v="299"/>
    <n v="43"/>
    <x v="1"/>
    <n v="46116"/>
    <n v="3113"/>
    <n v="605"/>
    <x v="0"/>
    <x v="0"/>
    <x v="1"/>
    <x v="247"/>
  </r>
  <r>
    <n v="300"/>
    <n v="53"/>
    <x v="1"/>
    <n v="48500"/>
    <n v="17280"/>
    <n v="416"/>
    <x v="0"/>
    <x v="0"/>
    <x v="1"/>
    <x v="248"/>
  </r>
  <r>
    <n v="301"/>
    <n v="23"/>
    <x v="0"/>
    <n v="63406"/>
    <n v="14565"/>
    <n v="673"/>
    <x v="0"/>
    <x v="1"/>
    <x v="2"/>
    <x v="249"/>
  </r>
  <r>
    <n v="302"/>
    <n v="38"/>
    <x v="1"/>
    <n v="40426"/>
    <n v="11183"/>
    <n v="572"/>
    <x v="0"/>
    <x v="0"/>
    <x v="1"/>
    <x v="250"/>
  </r>
  <r>
    <n v="303"/>
    <n v="45"/>
    <x v="1"/>
    <n v="32772"/>
    <n v="18961"/>
    <n v="515"/>
    <x v="0"/>
    <x v="0"/>
    <x v="1"/>
    <x v="251"/>
  </r>
  <r>
    <n v="304"/>
    <n v="51"/>
    <x v="1"/>
    <n v="53218"/>
    <n v="10203"/>
    <n v="748"/>
    <x v="1"/>
    <x v="1"/>
    <x v="1"/>
    <x v="252"/>
  </r>
  <r>
    <n v="305"/>
    <n v="23"/>
    <x v="0"/>
    <n v="18712"/>
    <n v="19658"/>
    <n v="580"/>
    <x v="0"/>
    <x v="0"/>
    <x v="0"/>
    <x v="253"/>
  </r>
  <r>
    <n v="308"/>
    <n v="42"/>
    <x v="0"/>
    <n v="56781"/>
    <n v="14489"/>
    <n v="723"/>
    <x v="1"/>
    <x v="1"/>
    <x v="1"/>
    <x v="254"/>
  </r>
  <r>
    <n v="309"/>
    <n v="43"/>
    <x v="1"/>
    <n v="64606"/>
    <n v="6546"/>
    <n v="848"/>
    <x v="1"/>
    <x v="2"/>
    <x v="2"/>
    <x v="255"/>
  </r>
  <r>
    <n v="310"/>
    <n v="22"/>
    <x v="1"/>
    <n v="41200"/>
    <n v="7852"/>
    <n v="513"/>
    <x v="0"/>
    <x v="0"/>
    <x v="1"/>
    <x v="256"/>
  </r>
  <r>
    <n v="311"/>
    <n v="47"/>
    <x v="1"/>
    <n v="48500"/>
    <n v="3551"/>
    <n v="656"/>
    <x v="0"/>
    <x v="1"/>
    <x v="1"/>
    <x v="257"/>
  </r>
  <r>
    <n v="312"/>
    <n v="22"/>
    <x v="0"/>
    <n v="18726"/>
    <n v="7411"/>
    <n v="457"/>
    <x v="0"/>
    <x v="0"/>
    <x v="0"/>
    <x v="258"/>
  </r>
  <r>
    <n v="313"/>
    <n v="46"/>
    <x v="1"/>
    <n v="38616"/>
    <n v="17391"/>
    <n v="553"/>
    <x v="0"/>
    <x v="0"/>
    <x v="1"/>
    <x v="259"/>
  </r>
  <r>
    <n v="314"/>
    <n v="37"/>
    <x v="1"/>
    <n v="42723"/>
    <n v="19939"/>
    <n v="764"/>
    <x v="0"/>
    <x v="2"/>
    <x v="1"/>
    <x v="260"/>
  </r>
  <r>
    <n v="315"/>
    <n v="53"/>
    <x v="1"/>
    <n v="76433"/>
    <n v="1475"/>
    <n v="803"/>
    <x v="1"/>
    <x v="2"/>
    <x v="2"/>
    <x v="261"/>
  </r>
  <r>
    <n v="318"/>
    <n v="49"/>
    <x v="0"/>
    <n v="24108"/>
    <n v="7710"/>
    <n v="665"/>
    <x v="0"/>
    <x v="1"/>
    <x v="0"/>
    <x v="262"/>
  </r>
  <r>
    <n v="321"/>
    <n v="45"/>
    <x v="1"/>
    <n v="46324"/>
    <n v="6223"/>
    <n v="440"/>
    <x v="0"/>
    <x v="0"/>
    <x v="1"/>
    <x v="263"/>
  </r>
  <r>
    <n v="322"/>
    <n v="44"/>
    <x v="1"/>
    <n v="53360"/>
    <n v="14521"/>
    <n v="504"/>
    <x v="0"/>
    <x v="0"/>
    <x v="1"/>
    <x v="264"/>
  </r>
  <r>
    <n v="323"/>
    <n v="33"/>
    <x v="1"/>
    <n v="32824"/>
    <n v="15889"/>
    <n v="788"/>
    <x v="0"/>
    <x v="2"/>
    <x v="1"/>
    <x v="265"/>
  </r>
  <r>
    <n v="324"/>
    <n v="27"/>
    <x v="0"/>
    <n v="60360"/>
    <n v="7971"/>
    <n v="777"/>
    <x v="1"/>
    <x v="2"/>
    <x v="2"/>
    <x v="266"/>
  </r>
  <r>
    <n v="326"/>
    <n v="40"/>
    <x v="0"/>
    <n v="43144"/>
    <n v="15721"/>
    <n v="800"/>
    <x v="1"/>
    <x v="2"/>
    <x v="1"/>
    <x v="267"/>
  </r>
  <r>
    <n v="327"/>
    <n v="21"/>
    <x v="0"/>
    <n v="46010"/>
    <n v="5943"/>
    <n v="677"/>
    <x v="0"/>
    <x v="1"/>
    <x v="1"/>
    <x v="268"/>
  </r>
  <r>
    <n v="328"/>
    <n v="28"/>
    <x v="1"/>
    <n v="37443"/>
    <n v="7530"/>
    <n v="753"/>
    <x v="1"/>
    <x v="2"/>
    <x v="1"/>
    <x v="269"/>
  </r>
  <r>
    <n v="329"/>
    <n v="36"/>
    <x v="0"/>
    <n v="29437"/>
    <n v="12116"/>
    <n v="636"/>
    <x v="0"/>
    <x v="0"/>
    <x v="0"/>
    <x v="270"/>
  </r>
  <r>
    <n v="331"/>
    <n v="32"/>
    <x v="0"/>
    <n v="59298"/>
    <n v="1282"/>
    <n v="620"/>
    <x v="0"/>
    <x v="0"/>
    <x v="1"/>
    <x v="271"/>
  </r>
  <r>
    <n v="332"/>
    <n v="43"/>
    <x v="0"/>
    <n v="54778"/>
    <n v="14937"/>
    <n v="467"/>
    <x v="0"/>
    <x v="0"/>
    <x v="1"/>
    <x v="272"/>
  </r>
  <r>
    <n v="333"/>
    <n v="35"/>
    <x v="1"/>
    <n v="26207"/>
    <n v="2898"/>
    <n v="596"/>
    <x v="0"/>
    <x v="0"/>
    <x v="0"/>
    <x v="273"/>
  </r>
  <r>
    <n v="334"/>
    <n v="48"/>
    <x v="1"/>
    <n v="71269"/>
    <n v="5135"/>
    <n v="655"/>
    <x v="0"/>
    <x v="1"/>
    <x v="2"/>
    <x v="274"/>
  </r>
  <r>
    <n v="335"/>
    <n v="54"/>
    <x v="0"/>
    <n v="75233"/>
    <n v="7629"/>
    <n v="538"/>
    <x v="0"/>
    <x v="0"/>
    <x v="2"/>
    <x v="275"/>
  </r>
  <r>
    <n v="336"/>
    <n v="22"/>
    <x v="1"/>
    <n v="40537"/>
    <n v="12168"/>
    <n v="711"/>
    <x v="1"/>
    <x v="1"/>
    <x v="1"/>
    <x v="276"/>
  </r>
  <r>
    <n v="337"/>
    <n v="52"/>
    <x v="1"/>
    <n v="50757"/>
    <n v="1612"/>
    <n v="834"/>
    <x v="1"/>
    <x v="2"/>
    <x v="1"/>
    <x v="277"/>
  </r>
  <r>
    <n v="338"/>
    <n v="43"/>
    <x v="1"/>
    <n v="27040"/>
    <n v="15203"/>
    <n v="548"/>
    <x v="0"/>
    <x v="0"/>
    <x v="0"/>
    <x v="278"/>
  </r>
  <r>
    <n v="340"/>
    <n v="45"/>
    <x v="1"/>
    <n v="37612"/>
    <n v="3307"/>
    <n v="475"/>
    <x v="0"/>
    <x v="0"/>
    <x v="1"/>
    <x v="279"/>
  </r>
  <r>
    <n v="341"/>
    <n v="42"/>
    <x v="0"/>
    <n v="43441"/>
    <n v="8133"/>
    <n v="681"/>
    <x v="1"/>
    <x v="1"/>
    <x v="1"/>
    <x v="280"/>
  </r>
  <r>
    <n v="343"/>
    <n v="26"/>
    <x v="1"/>
    <n v="50631"/>
    <n v="6906"/>
    <n v="802"/>
    <x v="1"/>
    <x v="2"/>
    <x v="1"/>
    <x v="281"/>
  </r>
  <r>
    <n v="344"/>
    <n v="35"/>
    <x v="1"/>
    <n v="77913"/>
    <n v="3591"/>
    <n v="508"/>
    <x v="0"/>
    <x v="0"/>
    <x v="2"/>
    <x v="282"/>
  </r>
  <r>
    <n v="345"/>
    <n v="57"/>
    <x v="1"/>
    <n v="58461"/>
    <n v="16149"/>
    <n v="587"/>
    <x v="0"/>
    <x v="0"/>
    <x v="1"/>
    <x v="283"/>
  </r>
  <r>
    <n v="346"/>
    <n v="53"/>
    <x v="0"/>
    <n v="41523"/>
    <n v="13150"/>
    <n v="598"/>
    <x v="0"/>
    <x v="0"/>
    <x v="1"/>
    <x v="284"/>
  </r>
  <r>
    <n v="347"/>
    <n v="28"/>
    <x v="0"/>
    <n v="46348"/>
    <n v="8183"/>
    <n v="702"/>
    <x v="1"/>
    <x v="1"/>
    <x v="1"/>
    <x v="285"/>
  </r>
  <r>
    <n v="348"/>
    <n v="25"/>
    <x v="0"/>
    <n v="79732"/>
    <n v="11102"/>
    <n v="726"/>
    <x v="1"/>
    <x v="1"/>
    <x v="2"/>
    <x v="286"/>
  </r>
  <r>
    <n v="349"/>
    <n v="59"/>
    <x v="0"/>
    <n v="16177"/>
    <n v="18053"/>
    <n v="553"/>
    <x v="0"/>
    <x v="0"/>
    <x v="0"/>
    <x v="287"/>
  </r>
  <r>
    <n v="350"/>
    <n v="24"/>
    <x v="1"/>
    <n v="19760"/>
    <n v="2283"/>
    <n v="439"/>
    <x v="0"/>
    <x v="0"/>
    <x v="0"/>
    <x v="288"/>
  </r>
  <r>
    <n v="351"/>
    <n v="26"/>
    <x v="0"/>
    <n v="47779"/>
    <n v="1923"/>
    <n v="532"/>
    <x v="0"/>
    <x v="0"/>
    <x v="1"/>
    <x v="289"/>
  </r>
  <r>
    <n v="354"/>
    <n v="55"/>
    <x v="1"/>
    <n v="68551"/>
    <n v="9438"/>
    <n v="678"/>
    <x v="0"/>
    <x v="1"/>
    <x v="2"/>
    <x v="290"/>
  </r>
  <r>
    <n v="355"/>
    <n v="36"/>
    <x v="1"/>
    <n v="26556"/>
    <n v="17154"/>
    <n v="761"/>
    <x v="0"/>
    <x v="2"/>
    <x v="0"/>
    <x v="291"/>
  </r>
  <r>
    <n v="356"/>
    <n v="33"/>
    <x v="1"/>
    <n v="42598"/>
    <n v="9004"/>
    <n v="483"/>
    <x v="0"/>
    <x v="0"/>
    <x v="1"/>
    <x v="292"/>
  </r>
  <r>
    <n v="357"/>
    <n v="50"/>
    <x v="0"/>
    <n v="26563"/>
    <n v="10752"/>
    <n v="798"/>
    <x v="0"/>
    <x v="2"/>
    <x v="0"/>
    <x v="293"/>
  </r>
  <r>
    <n v="358"/>
    <n v="39"/>
    <x v="0"/>
    <n v="48500"/>
    <n v="11592"/>
    <n v="641"/>
    <x v="0"/>
    <x v="0"/>
    <x v="1"/>
    <x v="294"/>
  </r>
  <r>
    <n v="359"/>
    <n v="37"/>
    <x v="0"/>
    <n v="58790"/>
    <n v="4864"/>
    <n v="515"/>
    <x v="0"/>
    <x v="0"/>
    <x v="1"/>
    <x v="295"/>
  </r>
  <r>
    <n v="360"/>
    <n v="39"/>
    <x v="0"/>
    <n v="23234"/>
    <n v="1226"/>
    <n v="508"/>
    <x v="0"/>
    <x v="0"/>
    <x v="0"/>
    <x v="296"/>
  </r>
  <r>
    <n v="361"/>
    <n v="48"/>
    <x v="1"/>
    <n v="40519"/>
    <n v="16036"/>
    <n v="620"/>
    <x v="0"/>
    <x v="0"/>
    <x v="1"/>
    <x v="297"/>
  </r>
  <r>
    <n v="362"/>
    <n v="46"/>
    <x v="0"/>
    <n v="41966"/>
    <n v="12739"/>
    <n v="791"/>
    <x v="1"/>
    <x v="2"/>
    <x v="1"/>
    <x v="298"/>
  </r>
  <r>
    <n v="364"/>
    <n v="46"/>
    <x v="0"/>
    <n v="31173"/>
    <n v="10587"/>
    <n v="767"/>
    <x v="1"/>
    <x v="2"/>
    <x v="1"/>
    <x v="299"/>
  </r>
  <r>
    <n v="366"/>
    <n v="29"/>
    <x v="1"/>
    <n v="41987"/>
    <n v="1645"/>
    <n v="511"/>
    <x v="0"/>
    <x v="0"/>
    <x v="1"/>
    <x v="300"/>
  </r>
  <r>
    <n v="367"/>
    <n v="32"/>
    <x v="0"/>
    <n v="28178"/>
    <n v="17299"/>
    <n v="502"/>
    <x v="0"/>
    <x v="0"/>
    <x v="0"/>
    <x v="301"/>
  </r>
  <r>
    <n v="368"/>
    <n v="21"/>
    <x v="1"/>
    <n v="54338"/>
    <n v="14675"/>
    <n v="445"/>
    <x v="0"/>
    <x v="0"/>
    <x v="1"/>
    <x v="302"/>
  </r>
  <r>
    <n v="369"/>
    <n v="21"/>
    <x v="1"/>
    <n v="73348"/>
    <n v="19888"/>
    <n v="811"/>
    <x v="1"/>
    <x v="2"/>
    <x v="2"/>
    <x v="303"/>
  </r>
  <r>
    <n v="370"/>
    <n v="54"/>
    <x v="0"/>
    <n v="39596"/>
    <n v="11964"/>
    <n v="723"/>
    <x v="1"/>
    <x v="1"/>
    <x v="1"/>
    <x v="304"/>
  </r>
  <r>
    <n v="371"/>
    <n v="52"/>
    <x v="1"/>
    <n v="48174"/>
    <n v="17087"/>
    <n v="777"/>
    <x v="1"/>
    <x v="2"/>
    <x v="1"/>
    <x v="305"/>
  </r>
  <r>
    <n v="372"/>
    <n v="45"/>
    <x v="0"/>
    <n v="79106"/>
    <n v="14537"/>
    <n v="670"/>
    <x v="0"/>
    <x v="1"/>
    <x v="2"/>
    <x v="306"/>
  </r>
  <r>
    <n v="373"/>
    <n v="21"/>
    <x v="0"/>
    <n v="56974"/>
    <n v="14269"/>
    <n v="820"/>
    <x v="1"/>
    <x v="2"/>
    <x v="1"/>
    <x v="307"/>
  </r>
  <r>
    <n v="374"/>
    <n v="36"/>
    <x v="0"/>
    <n v="19431"/>
    <n v="10346"/>
    <n v="784"/>
    <x v="0"/>
    <x v="2"/>
    <x v="0"/>
    <x v="308"/>
  </r>
  <r>
    <n v="375"/>
    <n v="59"/>
    <x v="1"/>
    <n v="74182"/>
    <n v="1587"/>
    <n v="594"/>
    <x v="0"/>
    <x v="0"/>
    <x v="2"/>
    <x v="309"/>
  </r>
  <r>
    <n v="376"/>
    <n v="25"/>
    <x v="1"/>
    <n v="42764"/>
    <n v="13763"/>
    <n v="766"/>
    <x v="1"/>
    <x v="2"/>
    <x v="1"/>
    <x v="310"/>
  </r>
  <r>
    <n v="378"/>
    <n v="49"/>
    <x v="0"/>
    <n v="54310"/>
    <n v="5079"/>
    <n v="682"/>
    <x v="1"/>
    <x v="1"/>
    <x v="1"/>
    <x v="311"/>
  </r>
  <r>
    <n v="379"/>
    <n v="23"/>
    <x v="1"/>
    <n v="48500"/>
    <n v="4348"/>
    <n v="439"/>
    <x v="0"/>
    <x v="0"/>
    <x v="1"/>
    <x v="312"/>
  </r>
  <r>
    <n v="380"/>
    <n v="32"/>
    <x v="0"/>
    <n v="78267"/>
    <n v="19099"/>
    <n v="846"/>
    <x v="1"/>
    <x v="2"/>
    <x v="2"/>
    <x v="313"/>
  </r>
  <r>
    <n v="381"/>
    <n v="46"/>
    <x v="0"/>
    <n v="23906"/>
    <n v="11785"/>
    <n v="588"/>
    <x v="0"/>
    <x v="0"/>
    <x v="0"/>
    <x v="314"/>
  </r>
  <r>
    <n v="383"/>
    <n v="57"/>
    <x v="0"/>
    <n v="59814"/>
    <n v="7450"/>
    <n v="423"/>
    <x v="0"/>
    <x v="0"/>
    <x v="1"/>
    <x v="315"/>
  </r>
  <r>
    <n v="384"/>
    <n v="42"/>
    <x v="1"/>
    <n v="60379"/>
    <n v="14230"/>
    <n v="423"/>
    <x v="0"/>
    <x v="0"/>
    <x v="2"/>
    <x v="316"/>
  </r>
  <r>
    <n v="385"/>
    <n v="49"/>
    <x v="1"/>
    <n v="48500"/>
    <n v="6433"/>
    <n v="403"/>
    <x v="0"/>
    <x v="0"/>
    <x v="1"/>
    <x v="317"/>
  </r>
  <r>
    <n v="386"/>
    <n v="34"/>
    <x v="1"/>
    <n v="64292"/>
    <n v="2098"/>
    <n v="722"/>
    <x v="1"/>
    <x v="1"/>
    <x v="2"/>
    <x v="318"/>
  </r>
  <r>
    <n v="388"/>
    <n v="25"/>
    <x v="1"/>
    <n v="52650"/>
    <n v="19710"/>
    <n v="840"/>
    <x v="1"/>
    <x v="2"/>
    <x v="1"/>
    <x v="319"/>
  </r>
  <r>
    <n v="389"/>
    <n v="50"/>
    <x v="0"/>
    <n v="61881"/>
    <n v="12439"/>
    <n v="832"/>
    <x v="1"/>
    <x v="2"/>
    <x v="2"/>
    <x v="320"/>
  </r>
  <r>
    <n v="390"/>
    <n v="25"/>
    <x v="0"/>
    <n v="61413"/>
    <n v="10087"/>
    <n v="580"/>
    <x v="0"/>
    <x v="0"/>
    <x v="2"/>
    <x v="321"/>
  </r>
  <r>
    <n v="391"/>
    <n v="32"/>
    <x v="0"/>
    <n v="21012"/>
    <n v="17021"/>
    <n v="647"/>
    <x v="0"/>
    <x v="0"/>
    <x v="0"/>
    <x v="322"/>
  </r>
  <r>
    <n v="392"/>
    <n v="36"/>
    <x v="1"/>
    <n v="65115"/>
    <n v="7416"/>
    <n v="515"/>
    <x v="0"/>
    <x v="0"/>
    <x v="2"/>
    <x v="323"/>
  </r>
  <r>
    <n v="393"/>
    <n v="46"/>
    <x v="1"/>
    <n v="22151"/>
    <n v="7980"/>
    <n v="678"/>
    <x v="0"/>
    <x v="1"/>
    <x v="0"/>
    <x v="324"/>
  </r>
  <r>
    <n v="395"/>
    <n v="41"/>
    <x v="0"/>
    <n v="43211"/>
    <n v="12101"/>
    <n v="468"/>
    <x v="0"/>
    <x v="0"/>
    <x v="1"/>
    <x v="325"/>
  </r>
  <r>
    <n v="396"/>
    <n v="59"/>
    <x v="1"/>
    <n v="42117"/>
    <n v="8950"/>
    <n v="750"/>
    <x v="1"/>
    <x v="2"/>
    <x v="1"/>
    <x v="326"/>
  </r>
  <r>
    <n v="397"/>
    <n v="56"/>
    <x v="0"/>
    <n v="51378"/>
    <n v="10122"/>
    <n v="653"/>
    <x v="0"/>
    <x v="1"/>
    <x v="1"/>
    <x v="327"/>
  </r>
  <r>
    <n v="398"/>
    <n v="53"/>
    <x v="0"/>
    <n v="57652"/>
    <n v="13576"/>
    <n v="580"/>
    <x v="0"/>
    <x v="0"/>
    <x v="1"/>
    <x v="328"/>
  </r>
  <r>
    <n v="399"/>
    <n v="50"/>
    <x v="1"/>
    <n v="21894"/>
    <n v="2089"/>
    <n v="717"/>
    <x v="0"/>
    <x v="1"/>
    <x v="0"/>
    <x v="329"/>
  </r>
  <r>
    <n v="400"/>
    <n v="57"/>
    <x v="1"/>
    <n v="28467"/>
    <n v="5578"/>
    <n v="568"/>
    <x v="0"/>
    <x v="0"/>
    <x v="0"/>
    <x v="330"/>
  </r>
  <r>
    <n v="401"/>
    <n v="43"/>
    <x v="0"/>
    <n v="46010"/>
    <n v="10127"/>
    <n v="712"/>
    <x v="1"/>
    <x v="1"/>
    <x v="1"/>
    <x v="331"/>
  </r>
  <r>
    <n v="402"/>
    <n v="30"/>
    <x v="1"/>
    <n v="78111"/>
    <n v="11487"/>
    <n v="648"/>
    <x v="0"/>
    <x v="0"/>
    <x v="2"/>
    <x v="332"/>
  </r>
  <r>
    <n v="403"/>
    <n v="25"/>
    <x v="0"/>
    <n v="71463"/>
    <n v="1155"/>
    <n v="587"/>
    <x v="0"/>
    <x v="0"/>
    <x v="2"/>
    <x v="333"/>
  </r>
  <r>
    <n v="404"/>
    <n v="56"/>
    <x v="1"/>
    <n v="64257"/>
    <n v="2958"/>
    <n v="453"/>
    <x v="0"/>
    <x v="0"/>
    <x v="2"/>
    <x v="334"/>
  </r>
  <r>
    <n v="405"/>
    <n v="54"/>
    <x v="1"/>
    <n v="69691"/>
    <n v="11693"/>
    <n v="725"/>
    <x v="1"/>
    <x v="1"/>
    <x v="2"/>
    <x v="335"/>
  </r>
  <r>
    <n v="406"/>
    <n v="51"/>
    <x v="0"/>
    <n v="79157"/>
    <n v="7344"/>
    <n v="756"/>
    <x v="1"/>
    <x v="2"/>
    <x v="2"/>
    <x v="336"/>
  </r>
  <r>
    <n v="407"/>
    <n v="30"/>
    <x v="1"/>
    <n v="57641"/>
    <n v="6779"/>
    <n v="712"/>
    <x v="1"/>
    <x v="1"/>
    <x v="1"/>
    <x v="337"/>
  </r>
  <r>
    <n v="408"/>
    <n v="39"/>
    <x v="0"/>
    <n v="27289"/>
    <n v="4830"/>
    <n v="537"/>
    <x v="0"/>
    <x v="0"/>
    <x v="0"/>
    <x v="338"/>
  </r>
  <r>
    <n v="409"/>
    <n v="52"/>
    <x v="1"/>
    <n v="59976"/>
    <n v="10046"/>
    <n v="567"/>
    <x v="0"/>
    <x v="0"/>
    <x v="1"/>
    <x v="339"/>
  </r>
  <r>
    <n v="411"/>
    <n v="25"/>
    <x v="0"/>
    <n v="38171"/>
    <n v="1441"/>
    <n v="502"/>
    <x v="0"/>
    <x v="0"/>
    <x v="1"/>
    <x v="340"/>
  </r>
  <r>
    <n v="412"/>
    <n v="24"/>
    <x v="1"/>
    <n v="49905"/>
    <n v="15478"/>
    <n v="821"/>
    <x v="1"/>
    <x v="2"/>
    <x v="1"/>
    <x v="341"/>
  </r>
  <r>
    <n v="413"/>
    <n v="36"/>
    <x v="0"/>
    <n v="75760"/>
    <n v="5628"/>
    <n v="484"/>
    <x v="0"/>
    <x v="0"/>
    <x v="2"/>
    <x v="342"/>
  </r>
  <r>
    <n v="414"/>
    <n v="44"/>
    <x v="1"/>
    <n v="35829"/>
    <n v="7370"/>
    <n v="716"/>
    <x v="1"/>
    <x v="1"/>
    <x v="1"/>
    <x v="343"/>
  </r>
  <r>
    <n v="415"/>
    <n v="36"/>
    <x v="1"/>
    <n v="67682"/>
    <n v="10528"/>
    <n v="611"/>
    <x v="0"/>
    <x v="0"/>
    <x v="2"/>
    <x v="344"/>
  </r>
  <r>
    <n v="419"/>
    <n v="47"/>
    <x v="1"/>
    <n v="63713"/>
    <n v="17013"/>
    <n v="741"/>
    <x v="1"/>
    <x v="1"/>
    <x v="2"/>
    <x v="345"/>
  </r>
  <r>
    <n v="420"/>
    <n v="40"/>
    <x v="1"/>
    <n v="44734"/>
    <n v="17843"/>
    <n v="702"/>
    <x v="1"/>
    <x v="1"/>
    <x v="1"/>
    <x v="346"/>
  </r>
  <r>
    <n v="421"/>
    <n v="44"/>
    <x v="0"/>
    <n v="22052"/>
    <n v="1392"/>
    <n v="731"/>
    <x v="0"/>
    <x v="1"/>
    <x v="0"/>
    <x v="347"/>
  </r>
  <r>
    <n v="422"/>
    <n v="32"/>
    <x v="1"/>
    <n v="78646"/>
    <n v="13130"/>
    <n v="437"/>
    <x v="0"/>
    <x v="0"/>
    <x v="2"/>
    <x v="348"/>
  </r>
  <r>
    <n v="423"/>
    <n v="55"/>
    <x v="1"/>
    <n v="18654"/>
    <n v="19171"/>
    <n v="819"/>
    <x v="0"/>
    <x v="2"/>
    <x v="0"/>
    <x v="349"/>
  </r>
  <r>
    <n v="424"/>
    <n v="53"/>
    <x v="0"/>
    <n v="38486"/>
    <n v="11449"/>
    <n v="638"/>
    <x v="0"/>
    <x v="0"/>
    <x v="1"/>
    <x v="350"/>
  </r>
  <r>
    <n v="425"/>
    <n v="53"/>
    <x v="1"/>
    <n v="33743"/>
    <n v="18522"/>
    <n v="568"/>
    <x v="0"/>
    <x v="0"/>
    <x v="1"/>
    <x v="351"/>
  </r>
  <r>
    <n v="426"/>
    <n v="57"/>
    <x v="0"/>
    <n v="63368"/>
    <n v="8418"/>
    <n v="796"/>
    <x v="1"/>
    <x v="2"/>
    <x v="2"/>
    <x v="352"/>
  </r>
  <r>
    <n v="427"/>
    <n v="32"/>
    <x v="1"/>
    <n v="39489"/>
    <n v="3454"/>
    <n v="742"/>
    <x v="1"/>
    <x v="1"/>
    <x v="1"/>
    <x v="353"/>
  </r>
  <r>
    <n v="428"/>
    <n v="23"/>
    <x v="0"/>
    <n v="23636"/>
    <n v="18761"/>
    <n v="713"/>
    <x v="0"/>
    <x v="1"/>
    <x v="0"/>
    <x v="354"/>
  </r>
  <r>
    <n v="429"/>
    <n v="21"/>
    <x v="1"/>
    <n v="21441"/>
    <n v="16223"/>
    <n v="705"/>
    <x v="0"/>
    <x v="1"/>
    <x v="0"/>
    <x v="355"/>
  </r>
  <r>
    <n v="430"/>
    <n v="53"/>
    <x v="1"/>
    <n v="69199"/>
    <n v="7701"/>
    <n v="429"/>
    <x v="0"/>
    <x v="0"/>
    <x v="2"/>
    <x v="356"/>
  </r>
  <r>
    <n v="431"/>
    <n v="30"/>
    <x v="0"/>
    <n v="39611"/>
    <n v="3597"/>
    <n v="589"/>
    <x v="0"/>
    <x v="0"/>
    <x v="1"/>
    <x v="357"/>
  </r>
  <r>
    <n v="432"/>
    <n v="49"/>
    <x v="1"/>
    <n v="69355"/>
    <n v="1141"/>
    <n v="756"/>
    <x v="1"/>
    <x v="2"/>
    <x v="2"/>
    <x v="358"/>
  </r>
  <r>
    <n v="433"/>
    <n v="33"/>
    <x v="0"/>
    <n v="57435"/>
    <n v="3659"/>
    <n v="424"/>
    <x v="0"/>
    <x v="0"/>
    <x v="1"/>
    <x v="359"/>
  </r>
  <r>
    <n v="435"/>
    <n v="51"/>
    <x v="0"/>
    <n v="49566"/>
    <n v="16037"/>
    <n v="810"/>
    <x v="1"/>
    <x v="2"/>
    <x v="1"/>
    <x v="360"/>
  </r>
  <r>
    <n v="437"/>
    <n v="55"/>
    <x v="0"/>
    <n v="48500"/>
    <n v="6661"/>
    <n v="605"/>
    <x v="0"/>
    <x v="0"/>
    <x v="1"/>
    <x v="361"/>
  </r>
  <r>
    <n v="438"/>
    <n v="43"/>
    <x v="0"/>
    <n v="36675"/>
    <n v="7142"/>
    <n v="584"/>
    <x v="0"/>
    <x v="0"/>
    <x v="1"/>
    <x v="362"/>
  </r>
  <r>
    <n v="439"/>
    <n v="37"/>
    <x v="1"/>
    <n v="20495"/>
    <n v="13109"/>
    <n v="781"/>
    <x v="0"/>
    <x v="2"/>
    <x v="0"/>
    <x v="363"/>
  </r>
  <r>
    <n v="440"/>
    <n v="46"/>
    <x v="1"/>
    <n v="57668"/>
    <n v="9787"/>
    <n v="778"/>
    <x v="1"/>
    <x v="2"/>
    <x v="1"/>
    <x v="364"/>
  </r>
  <r>
    <n v="441"/>
    <n v="28"/>
    <x v="0"/>
    <n v="28673"/>
    <n v="11096"/>
    <n v="446"/>
    <x v="0"/>
    <x v="0"/>
    <x v="0"/>
    <x v="365"/>
  </r>
  <r>
    <n v="442"/>
    <n v="49"/>
    <x v="0"/>
    <n v="79046"/>
    <n v="9472"/>
    <n v="773"/>
    <x v="1"/>
    <x v="2"/>
    <x v="2"/>
    <x v="366"/>
  </r>
  <r>
    <n v="443"/>
    <n v="46"/>
    <x v="0"/>
    <n v="26130"/>
    <n v="17807"/>
    <n v="627"/>
    <x v="0"/>
    <x v="0"/>
    <x v="0"/>
    <x v="367"/>
  </r>
  <r>
    <n v="444"/>
    <n v="30"/>
    <x v="1"/>
    <n v="37668"/>
    <n v="5249"/>
    <n v="438"/>
    <x v="0"/>
    <x v="0"/>
    <x v="1"/>
    <x v="368"/>
  </r>
  <r>
    <n v="445"/>
    <n v="46"/>
    <x v="1"/>
    <n v="30222"/>
    <n v="15949"/>
    <n v="415"/>
    <x v="0"/>
    <x v="0"/>
    <x v="1"/>
    <x v="369"/>
  </r>
  <r>
    <n v="446"/>
    <n v="54"/>
    <x v="1"/>
    <n v="38669"/>
    <n v="2750"/>
    <n v="421"/>
    <x v="0"/>
    <x v="0"/>
    <x v="1"/>
    <x v="370"/>
  </r>
  <r>
    <n v="447"/>
    <n v="27"/>
    <x v="1"/>
    <n v="49068"/>
    <n v="19351"/>
    <n v="612"/>
    <x v="0"/>
    <x v="0"/>
    <x v="1"/>
    <x v="371"/>
  </r>
  <r>
    <n v="448"/>
    <n v="24"/>
    <x v="0"/>
    <n v="38253"/>
    <n v="5088"/>
    <n v="709"/>
    <x v="1"/>
    <x v="1"/>
    <x v="1"/>
    <x v="372"/>
  </r>
  <r>
    <n v="449"/>
    <n v="31"/>
    <x v="0"/>
    <n v="24435"/>
    <n v="16282"/>
    <n v="548"/>
    <x v="0"/>
    <x v="0"/>
    <x v="0"/>
    <x v="373"/>
  </r>
  <r>
    <n v="450"/>
    <n v="49"/>
    <x v="0"/>
    <n v="43552"/>
    <n v="10641"/>
    <n v="640"/>
    <x v="0"/>
    <x v="0"/>
    <x v="1"/>
    <x v="374"/>
  </r>
  <r>
    <n v="451"/>
    <n v="56"/>
    <x v="1"/>
    <n v="67249"/>
    <n v="6075"/>
    <n v="671"/>
    <x v="0"/>
    <x v="1"/>
    <x v="2"/>
    <x v="375"/>
  </r>
  <r>
    <n v="452"/>
    <n v="45"/>
    <x v="1"/>
    <n v="52384"/>
    <n v="11412"/>
    <n v="458"/>
    <x v="0"/>
    <x v="0"/>
    <x v="1"/>
    <x v="376"/>
  </r>
  <r>
    <n v="453"/>
    <n v="41"/>
    <x v="1"/>
    <n v="78246"/>
    <n v="16686"/>
    <n v="686"/>
    <x v="1"/>
    <x v="1"/>
    <x v="2"/>
    <x v="377"/>
  </r>
  <r>
    <n v="454"/>
    <n v="56"/>
    <x v="0"/>
    <n v="31393"/>
    <n v="8230"/>
    <n v="825"/>
    <x v="1"/>
    <x v="2"/>
    <x v="1"/>
    <x v="378"/>
  </r>
  <r>
    <n v="455"/>
    <n v="30"/>
    <x v="0"/>
    <n v="77423"/>
    <n v="16432"/>
    <n v="601"/>
    <x v="0"/>
    <x v="0"/>
    <x v="2"/>
    <x v="379"/>
  </r>
  <r>
    <n v="456"/>
    <n v="57"/>
    <x v="1"/>
    <n v="25617"/>
    <n v="12002"/>
    <n v="431"/>
    <x v="0"/>
    <x v="0"/>
    <x v="0"/>
    <x v="380"/>
  </r>
  <r>
    <n v="457"/>
    <n v="29"/>
    <x v="0"/>
    <n v="53520"/>
    <n v="14947"/>
    <n v="842"/>
    <x v="1"/>
    <x v="2"/>
    <x v="1"/>
    <x v="381"/>
  </r>
  <r>
    <n v="458"/>
    <n v="44"/>
    <x v="1"/>
    <n v="24852"/>
    <n v="14686"/>
    <n v="561"/>
    <x v="0"/>
    <x v="0"/>
    <x v="0"/>
    <x v="382"/>
  </r>
  <r>
    <n v="459"/>
    <n v="55"/>
    <x v="1"/>
    <n v="46401"/>
    <n v="18915"/>
    <n v="654"/>
    <x v="0"/>
    <x v="1"/>
    <x v="1"/>
    <x v="383"/>
  </r>
  <r>
    <n v="461"/>
    <n v="56"/>
    <x v="1"/>
    <n v="21295"/>
    <n v="5493"/>
    <n v="408"/>
    <x v="0"/>
    <x v="0"/>
    <x v="0"/>
    <x v="384"/>
  </r>
  <r>
    <n v="462"/>
    <n v="38"/>
    <x v="0"/>
    <n v="68967"/>
    <n v="18317"/>
    <n v="538"/>
    <x v="0"/>
    <x v="0"/>
    <x v="2"/>
    <x v="385"/>
  </r>
  <r>
    <n v="463"/>
    <n v="59"/>
    <x v="1"/>
    <n v="65224"/>
    <n v="2460"/>
    <n v="409"/>
    <x v="0"/>
    <x v="0"/>
    <x v="2"/>
    <x v="386"/>
  </r>
  <r>
    <n v="464"/>
    <n v="52"/>
    <x v="0"/>
    <n v="50993"/>
    <n v="15140"/>
    <n v="613"/>
    <x v="0"/>
    <x v="0"/>
    <x v="1"/>
    <x v="387"/>
  </r>
  <r>
    <n v="465"/>
    <n v="44"/>
    <x v="0"/>
    <n v="77298"/>
    <n v="11704"/>
    <n v="672"/>
    <x v="0"/>
    <x v="1"/>
    <x v="2"/>
    <x v="388"/>
  </r>
  <r>
    <n v="466"/>
    <n v="43"/>
    <x v="0"/>
    <n v="49084"/>
    <n v="17669"/>
    <n v="723"/>
    <x v="1"/>
    <x v="1"/>
    <x v="1"/>
    <x v="389"/>
  </r>
  <r>
    <n v="468"/>
    <n v="57"/>
    <x v="1"/>
    <n v="60105"/>
    <n v="7816"/>
    <n v="835"/>
    <x v="1"/>
    <x v="2"/>
    <x v="2"/>
    <x v="390"/>
  </r>
  <r>
    <n v="469"/>
    <n v="32"/>
    <x v="0"/>
    <n v="54575"/>
    <n v="12639"/>
    <n v="510"/>
    <x v="0"/>
    <x v="0"/>
    <x v="1"/>
    <x v="391"/>
  </r>
  <r>
    <n v="471"/>
    <n v="43"/>
    <x v="1"/>
    <n v="51451"/>
    <n v="14965"/>
    <n v="522"/>
    <x v="0"/>
    <x v="0"/>
    <x v="1"/>
    <x v="392"/>
  </r>
  <r>
    <n v="472"/>
    <n v="45"/>
    <x v="1"/>
    <n v="22227"/>
    <n v="19146"/>
    <n v="804"/>
    <x v="0"/>
    <x v="2"/>
    <x v="0"/>
    <x v="393"/>
  </r>
  <r>
    <n v="474"/>
    <n v="50"/>
    <x v="0"/>
    <n v="51041"/>
    <n v="1040"/>
    <n v="501"/>
    <x v="0"/>
    <x v="0"/>
    <x v="1"/>
    <x v="394"/>
  </r>
  <r>
    <n v="475"/>
    <n v="37"/>
    <x v="1"/>
    <n v="38384"/>
    <n v="6827"/>
    <n v="640"/>
    <x v="0"/>
    <x v="0"/>
    <x v="1"/>
    <x v="395"/>
  </r>
  <r>
    <n v="476"/>
    <n v="40"/>
    <x v="1"/>
    <n v="15145"/>
    <n v="9259"/>
    <n v="720"/>
    <x v="0"/>
    <x v="1"/>
    <x v="0"/>
    <x v="396"/>
  </r>
  <r>
    <n v="477"/>
    <n v="45"/>
    <x v="0"/>
    <n v="52778"/>
    <n v="18371"/>
    <n v="590"/>
    <x v="0"/>
    <x v="0"/>
    <x v="1"/>
    <x v="397"/>
  </r>
  <r>
    <n v="478"/>
    <n v="42"/>
    <x v="1"/>
    <n v="31035"/>
    <n v="15849"/>
    <n v="616"/>
    <x v="0"/>
    <x v="0"/>
    <x v="1"/>
    <x v="398"/>
  </r>
  <r>
    <n v="479"/>
    <n v="33"/>
    <x v="1"/>
    <n v="18040"/>
    <n v="17232"/>
    <n v="450"/>
    <x v="0"/>
    <x v="0"/>
    <x v="0"/>
    <x v="399"/>
  </r>
  <r>
    <n v="480"/>
    <n v="39"/>
    <x v="1"/>
    <n v="57422"/>
    <n v="8804"/>
    <n v="691"/>
    <x v="1"/>
    <x v="1"/>
    <x v="1"/>
    <x v="400"/>
  </r>
  <r>
    <n v="481"/>
    <n v="56"/>
    <x v="0"/>
    <n v="48500"/>
    <n v="6374"/>
    <n v="480"/>
    <x v="0"/>
    <x v="0"/>
    <x v="1"/>
    <x v="401"/>
  </r>
  <r>
    <n v="483"/>
    <n v="39"/>
    <x v="0"/>
    <n v="79174"/>
    <n v="10277"/>
    <n v="487"/>
    <x v="0"/>
    <x v="0"/>
    <x v="2"/>
    <x v="402"/>
  </r>
  <r>
    <n v="484"/>
    <n v="32"/>
    <x v="0"/>
    <n v="41160"/>
    <n v="19863"/>
    <n v="593"/>
    <x v="0"/>
    <x v="0"/>
    <x v="1"/>
    <x v="403"/>
  </r>
  <r>
    <n v="485"/>
    <n v="29"/>
    <x v="0"/>
    <n v="64634"/>
    <n v="10885"/>
    <n v="503"/>
    <x v="0"/>
    <x v="0"/>
    <x v="2"/>
    <x v="404"/>
  </r>
  <r>
    <n v="486"/>
    <n v="27"/>
    <x v="0"/>
    <n v="67331"/>
    <n v="1778"/>
    <n v="670"/>
    <x v="0"/>
    <x v="1"/>
    <x v="2"/>
    <x v="405"/>
  </r>
  <r>
    <n v="487"/>
    <n v="48"/>
    <x v="0"/>
    <n v="32633"/>
    <n v="2492"/>
    <n v="495"/>
    <x v="0"/>
    <x v="0"/>
    <x v="1"/>
    <x v="406"/>
  </r>
  <r>
    <n v="488"/>
    <n v="34"/>
    <x v="1"/>
    <n v="44344"/>
    <n v="18044"/>
    <n v="822"/>
    <x v="0"/>
    <x v="2"/>
    <x v="1"/>
    <x v="407"/>
  </r>
  <r>
    <n v="489"/>
    <n v="51"/>
    <x v="1"/>
    <n v="32014"/>
    <n v="18732"/>
    <n v="778"/>
    <x v="0"/>
    <x v="2"/>
    <x v="1"/>
    <x v="408"/>
  </r>
  <r>
    <n v="490"/>
    <n v="39"/>
    <x v="0"/>
    <n v="29996"/>
    <n v="14615"/>
    <n v="597"/>
    <x v="0"/>
    <x v="0"/>
    <x v="0"/>
    <x v="409"/>
  </r>
  <r>
    <n v="491"/>
    <n v="36"/>
    <x v="1"/>
    <n v="64104"/>
    <n v="13132"/>
    <n v="400"/>
    <x v="0"/>
    <x v="0"/>
    <x v="2"/>
    <x v="410"/>
  </r>
  <r>
    <n v="493"/>
    <n v="55"/>
    <x v="0"/>
    <n v="26695"/>
    <n v="8851"/>
    <n v="777"/>
    <x v="1"/>
    <x v="2"/>
    <x v="0"/>
    <x v="411"/>
  </r>
  <r>
    <n v="494"/>
    <n v="32"/>
    <x v="1"/>
    <n v="17852"/>
    <n v="17288"/>
    <n v="566"/>
    <x v="0"/>
    <x v="0"/>
    <x v="0"/>
    <x v="412"/>
  </r>
  <r>
    <n v="496"/>
    <n v="41"/>
    <x v="1"/>
    <n v="42042"/>
    <n v="3044"/>
    <n v="712"/>
    <x v="1"/>
    <x v="1"/>
    <x v="1"/>
    <x v="413"/>
  </r>
  <r>
    <n v="497"/>
    <n v="56"/>
    <x v="1"/>
    <n v="48755"/>
    <n v="8368"/>
    <n v="480"/>
    <x v="0"/>
    <x v="0"/>
    <x v="1"/>
    <x v="414"/>
  </r>
  <r>
    <n v="499"/>
    <n v="36"/>
    <x v="0"/>
    <n v="38711"/>
    <n v="10168"/>
    <n v="650"/>
    <x v="0"/>
    <x v="1"/>
    <x v="1"/>
    <x v="415"/>
  </r>
  <r>
    <n v="500"/>
    <n v="59"/>
    <x v="0"/>
    <n v="41122"/>
    <n v="18111"/>
    <n v="568"/>
    <x v="0"/>
    <x v="0"/>
    <x v="1"/>
    <x v="416"/>
  </r>
  <r>
    <n v="501"/>
    <n v="59"/>
    <x v="0"/>
    <n v="72993"/>
    <n v="12328"/>
    <n v="472"/>
    <x v="0"/>
    <x v="0"/>
    <x v="2"/>
    <x v="417"/>
  </r>
  <r>
    <n v="502"/>
    <n v="34"/>
    <x v="1"/>
    <n v="24160"/>
    <n v="14319"/>
    <n v="540"/>
    <x v="0"/>
    <x v="0"/>
    <x v="0"/>
    <x v="418"/>
  </r>
  <r>
    <n v="503"/>
    <n v="51"/>
    <x v="0"/>
    <n v="42213"/>
    <n v="1342"/>
    <n v="469"/>
    <x v="0"/>
    <x v="0"/>
    <x v="1"/>
    <x v="419"/>
  </r>
  <r>
    <n v="504"/>
    <n v="25"/>
    <x v="1"/>
    <n v="65252"/>
    <n v="2447"/>
    <n v="661"/>
    <x v="0"/>
    <x v="1"/>
    <x v="2"/>
    <x v="420"/>
  </r>
  <r>
    <n v="505"/>
    <n v="55"/>
    <x v="1"/>
    <n v="54420"/>
    <n v="7581"/>
    <n v="739"/>
    <x v="1"/>
    <x v="1"/>
    <x v="1"/>
    <x v="421"/>
  </r>
  <r>
    <n v="506"/>
    <n v="43"/>
    <x v="1"/>
    <n v="72784"/>
    <n v="12851"/>
    <n v="707"/>
    <x v="1"/>
    <x v="1"/>
    <x v="2"/>
    <x v="422"/>
  </r>
  <r>
    <n v="507"/>
    <n v="49"/>
    <x v="1"/>
    <n v="22421"/>
    <n v="7317"/>
    <n v="644"/>
    <x v="0"/>
    <x v="0"/>
    <x v="0"/>
    <x v="423"/>
  </r>
  <r>
    <n v="508"/>
    <n v="31"/>
    <x v="0"/>
    <n v="36400"/>
    <n v="17910"/>
    <n v="402"/>
    <x v="0"/>
    <x v="0"/>
    <x v="1"/>
    <x v="424"/>
  </r>
  <r>
    <n v="510"/>
    <n v="32"/>
    <x v="1"/>
    <n v="32727"/>
    <n v="13946"/>
    <n v="462"/>
    <x v="0"/>
    <x v="0"/>
    <x v="1"/>
    <x v="425"/>
  </r>
  <r>
    <n v="511"/>
    <n v="29"/>
    <x v="0"/>
    <n v="61882"/>
    <n v="17789"/>
    <n v="448"/>
    <x v="0"/>
    <x v="0"/>
    <x v="2"/>
    <x v="426"/>
  </r>
  <r>
    <n v="512"/>
    <n v="30"/>
    <x v="1"/>
    <n v="19358"/>
    <n v="15567"/>
    <n v="475"/>
    <x v="0"/>
    <x v="0"/>
    <x v="0"/>
    <x v="427"/>
  </r>
  <r>
    <n v="513"/>
    <n v="37"/>
    <x v="0"/>
    <n v="76073"/>
    <n v="15868"/>
    <n v="767"/>
    <x v="1"/>
    <x v="2"/>
    <x v="2"/>
    <x v="428"/>
  </r>
  <r>
    <n v="514"/>
    <n v="58"/>
    <x v="0"/>
    <n v="43482"/>
    <n v="10765"/>
    <n v="574"/>
    <x v="0"/>
    <x v="0"/>
    <x v="1"/>
    <x v="429"/>
  </r>
  <r>
    <n v="516"/>
    <n v="33"/>
    <x v="0"/>
    <n v="47117"/>
    <n v="19230"/>
    <n v="582"/>
    <x v="0"/>
    <x v="0"/>
    <x v="1"/>
    <x v="430"/>
  </r>
  <r>
    <n v="517"/>
    <n v="29"/>
    <x v="1"/>
    <n v="38164"/>
    <n v="18862"/>
    <n v="591"/>
    <x v="0"/>
    <x v="0"/>
    <x v="1"/>
    <x v="431"/>
  </r>
  <r>
    <n v="518"/>
    <n v="47"/>
    <x v="0"/>
    <n v="46910"/>
    <n v="11587"/>
    <n v="464"/>
    <x v="0"/>
    <x v="0"/>
    <x v="1"/>
    <x v="432"/>
  </r>
  <r>
    <n v="519"/>
    <n v="22"/>
    <x v="1"/>
    <n v="76352"/>
    <n v="1771"/>
    <n v="736"/>
    <x v="1"/>
    <x v="1"/>
    <x v="2"/>
    <x v="433"/>
  </r>
  <r>
    <n v="520"/>
    <n v="25"/>
    <x v="1"/>
    <n v="47496"/>
    <n v="17300"/>
    <n v="670"/>
    <x v="0"/>
    <x v="1"/>
    <x v="1"/>
    <x v="434"/>
  </r>
  <r>
    <n v="521"/>
    <n v="49"/>
    <x v="0"/>
    <n v="70754"/>
    <n v="9770"/>
    <n v="499"/>
    <x v="0"/>
    <x v="0"/>
    <x v="2"/>
    <x v="435"/>
  </r>
  <r>
    <n v="522"/>
    <n v="57"/>
    <x v="0"/>
    <n v="77438"/>
    <n v="12093"/>
    <n v="431"/>
    <x v="0"/>
    <x v="0"/>
    <x v="2"/>
    <x v="436"/>
  </r>
  <r>
    <n v="523"/>
    <n v="58"/>
    <x v="1"/>
    <n v="59311"/>
    <n v="14803"/>
    <n v="751"/>
    <x v="1"/>
    <x v="2"/>
    <x v="1"/>
    <x v="437"/>
  </r>
  <r>
    <n v="524"/>
    <n v="39"/>
    <x v="0"/>
    <n v="44371"/>
    <n v="1193"/>
    <n v="527"/>
    <x v="0"/>
    <x v="0"/>
    <x v="1"/>
    <x v="438"/>
  </r>
  <r>
    <n v="525"/>
    <n v="28"/>
    <x v="0"/>
    <n v="66501"/>
    <n v="3007"/>
    <n v="801"/>
    <x v="1"/>
    <x v="2"/>
    <x v="2"/>
    <x v="439"/>
  </r>
  <r>
    <n v="526"/>
    <n v="21"/>
    <x v="1"/>
    <n v="75946"/>
    <n v="18569"/>
    <n v="768"/>
    <x v="1"/>
    <x v="2"/>
    <x v="2"/>
    <x v="440"/>
  </r>
  <r>
    <n v="527"/>
    <n v="42"/>
    <x v="1"/>
    <n v="53467"/>
    <n v="19778"/>
    <n v="738"/>
    <x v="1"/>
    <x v="1"/>
    <x v="1"/>
    <x v="441"/>
  </r>
  <r>
    <n v="528"/>
    <n v="37"/>
    <x v="0"/>
    <n v="32625"/>
    <n v="12190"/>
    <n v="442"/>
    <x v="0"/>
    <x v="0"/>
    <x v="1"/>
    <x v="442"/>
  </r>
  <r>
    <n v="530"/>
    <n v="45"/>
    <x v="1"/>
    <n v="25793"/>
    <n v="10302"/>
    <n v="818"/>
    <x v="1"/>
    <x v="2"/>
    <x v="0"/>
    <x v="443"/>
  </r>
  <r>
    <n v="531"/>
    <n v="24"/>
    <x v="1"/>
    <n v="46007"/>
    <n v="8429"/>
    <n v="477"/>
    <x v="0"/>
    <x v="0"/>
    <x v="1"/>
    <x v="444"/>
  </r>
  <r>
    <n v="532"/>
    <n v="56"/>
    <x v="0"/>
    <n v="40766"/>
    <n v="3261"/>
    <n v="713"/>
    <x v="1"/>
    <x v="1"/>
    <x v="1"/>
    <x v="445"/>
  </r>
  <r>
    <n v="533"/>
    <n v="26"/>
    <x v="0"/>
    <n v="54532"/>
    <n v="7716"/>
    <n v="688"/>
    <x v="1"/>
    <x v="1"/>
    <x v="1"/>
    <x v="446"/>
  </r>
  <r>
    <n v="535"/>
    <n v="39"/>
    <x v="0"/>
    <n v="27323"/>
    <n v="5378"/>
    <n v="561"/>
    <x v="0"/>
    <x v="0"/>
    <x v="0"/>
    <x v="447"/>
  </r>
  <r>
    <n v="536"/>
    <n v="59"/>
    <x v="1"/>
    <n v="60799"/>
    <n v="8815"/>
    <n v="588"/>
    <x v="0"/>
    <x v="0"/>
    <x v="2"/>
    <x v="448"/>
  </r>
  <r>
    <n v="538"/>
    <n v="30"/>
    <x v="1"/>
    <n v="60408"/>
    <n v="13728"/>
    <n v="787"/>
    <x v="1"/>
    <x v="2"/>
    <x v="2"/>
    <x v="449"/>
  </r>
  <r>
    <n v="539"/>
    <n v="46"/>
    <x v="1"/>
    <n v="22843"/>
    <n v="11332"/>
    <n v="615"/>
    <x v="0"/>
    <x v="0"/>
    <x v="0"/>
    <x v="450"/>
  </r>
  <r>
    <n v="540"/>
    <n v="39"/>
    <x v="0"/>
    <n v="29210"/>
    <n v="10836"/>
    <n v="714"/>
    <x v="1"/>
    <x v="1"/>
    <x v="0"/>
    <x v="451"/>
  </r>
  <r>
    <n v="542"/>
    <n v="23"/>
    <x v="0"/>
    <n v="46367"/>
    <n v="9333"/>
    <n v="738"/>
    <x v="1"/>
    <x v="1"/>
    <x v="1"/>
    <x v="452"/>
  </r>
  <r>
    <n v="543"/>
    <n v="33"/>
    <x v="0"/>
    <n v="69624"/>
    <n v="6410"/>
    <n v="789"/>
    <x v="1"/>
    <x v="2"/>
    <x v="2"/>
    <x v="453"/>
  </r>
  <r>
    <n v="544"/>
    <n v="48"/>
    <x v="1"/>
    <n v="25106"/>
    <n v="18839"/>
    <n v="776"/>
    <x v="0"/>
    <x v="2"/>
    <x v="0"/>
    <x v="454"/>
  </r>
  <r>
    <n v="545"/>
    <n v="40"/>
    <x v="1"/>
    <n v="52957"/>
    <n v="6808"/>
    <n v="832"/>
    <x v="1"/>
    <x v="2"/>
    <x v="1"/>
    <x v="455"/>
  </r>
  <r>
    <n v="546"/>
    <n v="48"/>
    <x v="0"/>
    <n v="17472"/>
    <n v="7796"/>
    <n v="567"/>
    <x v="0"/>
    <x v="0"/>
    <x v="0"/>
    <x v="456"/>
  </r>
  <r>
    <n v="548"/>
    <n v="59"/>
    <x v="1"/>
    <n v="64859"/>
    <n v="18709"/>
    <n v="592"/>
    <x v="0"/>
    <x v="0"/>
    <x v="2"/>
    <x v="457"/>
  </r>
  <r>
    <n v="549"/>
    <n v="21"/>
    <x v="1"/>
    <n v="65956"/>
    <n v="18543"/>
    <n v="682"/>
    <x v="1"/>
    <x v="1"/>
    <x v="2"/>
    <x v="458"/>
  </r>
  <r>
    <n v="550"/>
    <n v="23"/>
    <x v="1"/>
    <n v="21704"/>
    <n v="5650"/>
    <n v="735"/>
    <x v="0"/>
    <x v="1"/>
    <x v="0"/>
    <x v="459"/>
  </r>
  <r>
    <n v="551"/>
    <n v="33"/>
    <x v="1"/>
    <n v="79315"/>
    <n v="5987"/>
    <n v="789"/>
    <x v="1"/>
    <x v="2"/>
    <x v="2"/>
    <x v="460"/>
  </r>
  <r>
    <n v="552"/>
    <n v="48"/>
    <x v="0"/>
    <n v="18713"/>
    <n v="16200"/>
    <n v="412"/>
    <x v="0"/>
    <x v="0"/>
    <x v="0"/>
    <x v="461"/>
  </r>
  <r>
    <n v="554"/>
    <n v="53"/>
    <x v="1"/>
    <n v="25756"/>
    <n v="17724"/>
    <n v="719"/>
    <x v="0"/>
    <x v="1"/>
    <x v="0"/>
    <x v="462"/>
  </r>
  <r>
    <n v="555"/>
    <n v="58"/>
    <x v="1"/>
    <n v="17475"/>
    <n v="4828"/>
    <n v="845"/>
    <x v="0"/>
    <x v="2"/>
    <x v="0"/>
    <x v="463"/>
  </r>
  <r>
    <n v="556"/>
    <n v="26"/>
    <x v="1"/>
    <n v="51378"/>
    <n v="19352"/>
    <n v="546"/>
    <x v="0"/>
    <x v="0"/>
    <x v="1"/>
    <x v="464"/>
  </r>
  <r>
    <n v="558"/>
    <n v="41"/>
    <x v="1"/>
    <n v="48500"/>
    <n v="13605"/>
    <n v="479"/>
    <x v="0"/>
    <x v="0"/>
    <x v="1"/>
    <x v="465"/>
  </r>
  <r>
    <n v="559"/>
    <n v="36"/>
    <x v="0"/>
    <n v="75167"/>
    <n v="6482"/>
    <n v="778"/>
    <x v="1"/>
    <x v="2"/>
    <x v="2"/>
    <x v="466"/>
  </r>
  <r>
    <n v="561"/>
    <n v="31"/>
    <x v="0"/>
    <n v="49503"/>
    <n v="6463"/>
    <n v="488"/>
    <x v="0"/>
    <x v="0"/>
    <x v="1"/>
    <x v="467"/>
  </r>
  <r>
    <n v="562"/>
    <n v="57"/>
    <x v="1"/>
    <n v="73929"/>
    <n v="14860"/>
    <n v="547"/>
    <x v="0"/>
    <x v="0"/>
    <x v="2"/>
    <x v="468"/>
  </r>
  <r>
    <n v="563"/>
    <n v="56"/>
    <x v="0"/>
    <n v="23258"/>
    <n v="5912"/>
    <n v="494"/>
    <x v="0"/>
    <x v="0"/>
    <x v="0"/>
    <x v="469"/>
  </r>
  <r>
    <n v="564"/>
    <n v="55"/>
    <x v="1"/>
    <n v="48500"/>
    <n v="5648"/>
    <n v="827"/>
    <x v="1"/>
    <x v="2"/>
    <x v="1"/>
    <x v="470"/>
  </r>
  <r>
    <n v="565"/>
    <n v="39"/>
    <x v="0"/>
    <n v="48500"/>
    <n v="1855"/>
    <n v="550"/>
    <x v="0"/>
    <x v="0"/>
    <x v="1"/>
    <x v="471"/>
  </r>
  <r>
    <n v="566"/>
    <n v="40"/>
    <x v="1"/>
    <n v="50196"/>
    <n v="3866"/>
    <n v="401"/>
    <x v="0"/>
    <x v="0"/>
    <x v="1"/>
    <x v="472"/>
  </r>
  <r>
    <n v="567"/>
    <n v="38"/>
    <x v="0"/>
    <n v="60113"/>
    <n v="12834"/>
    <n v="775"/>
    <x v="1"/>
    <x v="2"/>
    <x v="2"/>
    <x v="473"/>
  </r>
  <r>
    <n v="568"/>
    <n v="34"/>
    <x v="1"/>
    <n v="55194"/>
    <n v="17294"/>
    <n v="421"/>
    <x v="0"/>
    <x v="0"/>
    <x v="1"/>
    <x v="474"/>
  </r>
  <r>
    <n v="569"/>
    <n v="35"/>
    <x v="0"/>
    <n v="23533"/>
    <n v="17566"/>
    <n v="770"/>
    <x v="0"/>
    <x v="2"/>
    <x v="0"/>
    <x v="475"/>
  </r>
  <r>
    <n v="570"/>
    <n v="51"/>
    <x v="1"/>
    <n v="47581"/>
    <n v="4112"/>
    <n v="712"/>
    <x v="1"/>
    <x v="1"/>
    <x v="1"/>
    <x v="476"/>
  </r>
  <r>
    <n v="571"/>
    <n v="21"/>
    <x v="1"/>
    <n v="20249"/>
    <n v="5492"/>
    <n v="727"/>
    <x v="0"/>
    <x v="1"/>
    <x v="0"/>
    <x v="477"/>
  </r>
  <r>
    <n v="572"/>
    <n v="23"/>
    <x v="1"/>
    <n v="75118"/>
    <n v="16114"/>
    <n v="406"/>
    <x v="0"/>
    <x v="0"/>
    <x v="2"/>
    <x v="478"/>
  </r>
  <r>
    <n v="573"/>
    <n v="36"/>
    <x v="1"/>
    <n v="69443"/>
    <n v="2517"/>
    <n v="605"/>
    <x v="0"/>
    <x v="0"/>
    <x v="2"/>
    <x v="479"/>
  </r>
  <r>
    <n v="574"/>
    <n v="43"/>
    <x v="0"/>
    <n v="34201"/>
    <n v="17018"/>
    <n v="839"/>
    <x v="0"/>
    <x v="2"/>
    <x v="1"/>
    <x v="480"/>
  </r>
  <r>
    <n v="577"/>
    <n v="30"/>
    <x v="0"/>
    <n v="68026"/>
    <n v="9210"/>
    <n v="671"/>
    <x v="0"/>
    <x v="1"/>
    <x v="2"/>
    <x v="481"/>
  </r>
  <r>
    <n v="578"/>
    <n v="52"/>
    <x v="1"/>
    <n v="74745"/>
    <n v="12595"/>
    <n v="482"/>
    <x v="0"/>
    <x v="0"/>
    <x v="2"/>
    <x v="482"/>
  </r>
  <r>
    <n v="579"/>
    <n v="36"/>
    <x v="1"/>
    <n v="24686"/>
    <n v="13871"/>
    <n v="578"/>
    <x v="0"/>
    <x v="0"/>
    <x v="0"/>
    <x v="483"/>
  </r>
  <r>
    <n v="580"/>
    <n v="28"/>
    <x v="0"/>
    <n v="61877"/>
    <n v="13743"/>
    <n v="609"/>
    <x v="0"/>
    <x v="0"/>
    <x v="2"/>
    <x v="484"/>
  </r>
  <r>
    <n v="581"/>
    <n v="58"/>
    <x v="1"/>
    <n v="68363"/>
    <n v="10324"/>
    <n v="727"/>
    <x v="1"/>
    <x v="1"/>
    <x v="2"/>
    <x v="485"/>
  </r>
  <r>
    <n v="583"/>
    <n v="44"/>
    <x v="0"/>
    <n v="15661"/>
    <n v="7588"/>
    <n v="512"/>
    <x v="0"/>
    <x v="0"/>
    <x v="0"/>
    <x v="486"/>
  </r>
  <r>
    <n v="584"/>
    <n v="48"/>
    <x v="1"/>
    <n v="59843"/>
    <n v="4311"/>
    <n v="411"/>
    <x v="0"/>
    <x v="0"/>
    <x v="1"/>
    <x v="487"/>
  </r>
  <r>
    <n v="585"/>
    <n v="28"/>
    <x v="1"/>
    <n v="45137"/>
    <n v="1987"/>
    <n v="525"/>
    <x v="0"/>
    <x v="0"/>
    <x v="1"/>
    <x v="488"/>
  </r>
  <r>
    <n v="586"/>
    <n v="48"/>
    <x v="1"/>
    <n v="75963"/>
    <n v="4321"/>
    <n v="452"/>
    <x v="0"/>
    <x v="0"/>
    <x v="2"/>
    <x v="489"/>
  </r>
  <r>
    <n v="587"/>
    <n v="56"/>
    <x v="1"/>
    <n v="62556"/>
    <n v="16812"/>
    <n v="730"/>
    <x v="1"/>
    <x v="1"/>
    <x v="2"/>
    <x v="490"/>
  </r>
  <r>
    <n v="588"/>
    <n v="46"/>
    <x v="0"/>
    <n v="48500"/>
    <n v="5615"/>
    <n v="788"/>
    <x v="1"/>
    <x v="2"/>
    <x v="1"/>
    <x v="491"/>
  </r>
  <r>
    <n v="589"/>
    <n v="28"/>
    <x v="0"/>
    <n v="63604"/>
    <n v="16512"/>
    <n v="682"/>
    <x v="1"/>
    <x v="1"/>
    <x v="2"/>
    <x v="492"/>
  </r>
  <r>
    <n v="591"/>
    <n v="48"/>
    <x v="1"/>
    <n v="18374"/>
    <n v="14654"/>
    <n v="800"/>
    <x v="0"/>
    <x v="2"/>
    <x v="0"/>
    <x v="493"/>
  </r>
  <r>
    <n v="592"/>
    <n v="57"/>
    <x v="1"/>
    <n v="40592"/>
    <n v="4052"/>
    <n v="789"/>
    <x v="1"/>
    <x v="2"/>
    <x v="1"/>
    <x v="494"/>
  </r>
  <r>
    <n v="593"/>
    <n v="56"/>
    <x v="0"/>
    <n v="43982"/>
    <n v="1726"/>
    <n v="496"/>
    <x v="0"/>
    <x v="0"/>
    <x v="1"/>
    <x v="495"/>
  </r>
  <r>
    <n v="595"/>
    <n v="37"/>
    <x v="1"/>
    <n v="50433"/>
    <n v="2875"/>
    <n v="456"/>
    <x v="0"/>
    <x v="0"/>
    <x v="1"/>
    <x v="496"/>
  </r>
  <r>
    <n v="596"/>
    <n v="29"/>
    <x v="1"/>
    <n v="66645"/>
    <n v="14969"/>
    <n v="811"/>
    <x v="1"/>
    <x v="2"/>
    <x v="2"/>
    <x v="497"/>
  </r>
  <r>
    <n v="597"/>
    <n v="53"/>
    <x v="1"/>
    <n v="38197"/>
    <n v="5033"/>
    <n v="733"/>
    <x v="1"/>
    <x v="1"/>
    <x v="1"/>
    <x v="498"/>
  </r>
  <r>
    <n v="598"/>
    <n v="40"/>
    <x v="0"/>
    <n v="48400"/>
    <n v="6443"/>
    <n v="468"/>
    <x v="0"/>
    <x v="0"/>
    <x v="1"/>
    <x v="499"/>
  </r>
  <r>
    <n v="600"/>
    <n v="48"/>
    <x v="0"/>
    <n v="75303"/>
    <n v="4744"/>
    <n v="775"/>
    <x v="1"/>
    <x v="2"/>
    <x v="2"/>
    <x v="500"/>
  </r>
  <r>
    <n v="601"/>
    <n v="49"/>
    <x v="1"/>
    <n v="18083"/>
    <n v="17977"/>
    <n v="458"/>
    <x v="0"/>
    <x v="0"/>
    <x v="0"/>
    <x v="501"/>
  </r>
  <r>
    <n v="603"/>
    <n v="55"/>
    <x v="0"/>
    <n v="61479"/>
    <n v="11651"/>
    <n v="717"/>
    <x v="1"/>
    <x v="1"/>
    <x v="2"/>
    <x v="502"/>
  </r>
  <r>
    <n v="604"/>
    <n v="26"/>
    <x v="1"/>
    <n v="57891"/>
    <n v="1935"/>
    <n v="449"/>
    <x v="0"/>
    <x v="0"/>
    <x v="1"/>
    <x v="503"/>
  </r>
  <r>
    <n v="605"/>
    <n v="38"/>
    <x v="1"/>
    <n v="35103"/>
    <n v="14395"/>
    <n v="767"/>
    <x v="0"/>
    <x v="2"/>
    <x v="1"/>
    <x v="504"/>
  </r>
  <r>
    <n v="607"/>
    <n v="45"/>
    <x v="0"/>
    <n v="25754"/>
    <n v="17715"/>
    <n v="613"/>
    <x v="0"/>
    <x v="0"/>
    <x v="0"/>
    <x v="505"/>
  </r>
  <r>
    <n v="608"/>
    <n v="22"/>
    <x v="0"/>
    <n v="49447"/>
    <n v="12641"/>
    <n v="596"/>
    <x v="0"/>
    <x v="0"/>
    <x v="1"/>
    <x v="506"/>
  </r>
  <r>
    <n v="610"/>
    <n v="50"/>
    <x v="1"/>
    <n v="48004"/>
    <n v="6889"/>
    <n v="849"/>
    <x v="1"/>
    <x v="2"/>
    <x v="1"/>
    <x v="507"/>
  </r>
  <r>
    <n v="611"/>
    <n v="25"/>
    <x v="0"/>
    <n v="22446"/>
    <n v="6054"/>
    <n v="446"/>
    <x v="0"/>
    <x v="0"/>
    <x v="0"/>
    <x v="508"/>
  </r>
  <r>
    <n v="612"/>
    <n v="53"/>
    <x v="0"/>
    <n v="52211"/>
    <n v="4868"/>
    <n v="566"/>
    <x v="0"/>
    <x v="0"/>
    <x v="1"/>
    <x v="509"/>
  </r>
  <r>
    <n v="613"/>
    <n v="21"/>
    <x v="1"/>
    <n v="48500"/>
    <n v="17585"/>
    <n v="688"/>
    <x v="1"/>
    <x v="1"/>
    <x v="1"/>
    <x v="510"/>
  </r>
  <r>
    <n v="614"/>
    <n v="38"/>
    <x v="0"/>
    <n v="63231"/>
    <n v="19881"/>
    <n v="540"/>
    <x v="0"/>
    <x v="0"/>
    <x v="2"/>
    <x v="511"/>
  </r>
  <r>
    <n v="615"/>
    <n v="52"/>
    <x v="1"/>
    <n v="44301"/>
    <n v="2842"/>
    <n v="483"/>
    <x v="0"/>
    <x v="0"/>
    <x v="1"/>
    <x v="512"/>
  </r>
  <r>
    <n v="616"/>
    <n v="31"/>
    <x v="1"/>
    <n v="41116"/>
    <n v="11058"/>
    <n v="581"/>
    <x v="0"/>
    <x v="0"/>
    <x v="1"/>
    <x v="513"/>
  </r>
  <r>
    <n v="617"/>
    <n v="41"/>
    <x v="1"/>
    <n v="70251"/>
    <n v="10101"/>
    <n v="790"/>
    <x v="1"/>
    <x v="2"/>
    <x v="2"/>
    <x v="514"/>
  </r>
  <r>
    <n v="618"/>
    <n v="46"/>
    <x v="0"/>
    <n v="76287"/>
    <n v="13497"/>
    <n v="478"/>
    <x v="0"/>
    <x v="0"/>
    <x v="2"/>
    <x v="515"/>
  </r>
  <r>
    <n v="619"/>
    <n v="45"/>
    <x v="0"/>
    <n v="77711"/>
    <n v="5658"/>
    <n v="614"/>
    <x v="0"/>
    <x v="0"/>
    <x v="2"/>
    <x v="516"/>
  </r>
  <r>
    <n v="620"/>
    <n v="42"/>
    <x v="1"/>
    <n v="56323"/>
    <n v="12381"/>
    <n v="413"/>
    <x v="0"/>
    <x v="0"/>
    <x v="1"/>
    <x v="517"/>
  </r>
  <r>
    <n v="621"/>
    <n v="47"/>
    <x v="0"/>
    <n v="33752"/>
    <n v="8544"/>
    <n v="614"/>
    <x v="0"/>
    <x v="0"/>
    <x v="1"/>
    <x v="518"/>
  </r>
  <r>
    <n v="622"/>
    <n v="33"/>
    <x v="0"/>
    <n v="47376"/>
    <n v="8718"/>
    <n v="802"/>
    <x v="1"/>
    <x v="2"/>
    <x v="1"/>
    <x v="519"/>
  </r>
  <r>
    <n v="623"/>
    <n v="53"/>
    <x v="1"/>
    <n v="31669"/>
    <n v="14851"/>
    <n v="527"/>
    <x v="0"/>
    <x v="0"/>
    <x v="1"/>
    <x v="520"/>
  </r>
  <r>
    <n v="624"/>
    <n v="54"/>
    <x v="1"/>
    <n v="47916"/>
    <n v="18154"/>
    <n v="709"/>
    <x v="1"/>
    <x v="1"/>
    <x v="1"/>
    <x v="521"/>
  </r>
  <r>
    <n v="625"/>
    <n v="55"/>
    <x v="0"/>
    <n v="28395"/>
    <n v="12777"/>
    <n v="647"/>
    <x v="0"/>
    <x v="0"/>
    <x v="0"/>
    <x v="522"/>
  </r>
  <r>
    <n v="628"/>
    <n v="26"/>
    <x v="0"/>
    <n v="71273"/>
    <n v="7031"/>
    <n v="679"/>
    <x v="0"/>
    <x v="1"/>
    <x v="2"/>
    <x v="523"/>
  </r>
  <r>
    <n v="629"/>
    <n v="48"/>
    <x v="0"/>
    <n v="76895"/>
    <n v="7439"/>
    <n v="737"/>
    <x v="1"/>
    <x v="1"/>
    <x v="2"/>
    <x v="524"/>
  </r>
  <r>
    <n v="632"/>
    <n v="51"/>
    <x v="1"/>
    <n v="69432"/>
    <n v="3282"/>
    <n v="760"/>
    <x v="1"/>
    <x v="2"/>
    <x v="2"/>
    <x v="525"/>
  </r>
  <r>
    <n v="633"/>
    <n v="25"/>
    <x v="1"/>
    <n v="65164"/>
    <n v="2856"/>
    <n v="456"/>
    <x v="0"/>
    <x v="0"/>
    <x v="2"/>
    <x v="526"/>
  </r>
  <r>
    <n v="634"/>
    <n v="58"/>
    <x v="1"/>
    <n v="26023"/>
    <n v="16670"/>
    <n v="791"/>
    <x v="0"/>
    <x v="2"/>
    <x v="0"/>
    <x v="527"/>
  </r>
  <r>
    <n v="635"/>
    <n v="23"/>
    <x v="0"/>
    <n v="25699"/>
    <n v="2998"/>
    <n v="617"/>
    <x v="0"/>
    <x v="0"/>
    <x v="0"/>
    <x v="528"/>
  </r>
  <r>
    <n v="636"/>
    <n v="43"/>
    <x v="0"/>
    <n v="24715"/>
    <n v="6476"/>
    <n v="461"/>
    <x v="0"/>
    <x v="0"/>
    <x v="0"/>
    <x v="529"/>
  </r>
  <r>
    <n v="637"/>
    <n v="57"/>
    <x v="1"/>
    <n v="34169"/>
    <n v="10428"/>
    <n v="556"/>
    <x v="0"/>
    <x v="0"/>
    <x v="1"/>
    <x v="530"/>
  </r>
  <r>
    <n v="638"/>
    <n v="57"/>
    <x v="0"/>
    <n v="48500"/>
    <n v="5669"/>
    <n v="601"/>
    <x v="0"/>
    <x v="0"/>
    <x v="1"/>
    <x v="531"/>
  </r>
  <r>
    <n v="639"/>
    <n v="30"/>
    <x v="0"/>
    <n v="67877"/>
    <n v="13336"/>
    <n v="416"/>
    <x v="0"/>
    <x v="0"/>
    <x v="2"/>
    <x v="532"/>
  </r>
  <r>
    <n v="642"/>
    <n v="37"/>
    <x v="1"/>
    <n v="48500"/>
    <n v="8446"/>
    <n v="457"/>
    <x v="0"/>
    <x v="0"/>
    <x v="1"/>
    <x v="533"/>
  </r>
  <r>
    <n v="643"/>
    <n v="41"/>
    <x v="1"/>
    <n v="37641"/>
    <n v="18815"/>
    <n v="724"/>
    <x v="0"/>
    <x v="1"/>
    <x v="1"/>
    <x v="534"/>
  </r>
  <r>
    <n v="645"/>
    <n v="29"/>
    <x v="1"/>
    <n v="73945"/>
    <n v="8461"/>
    <n v="717"/>
    <x v="1"/>
    <x v="1"/>
    <x v="2"/>
    <x v="535"/>
  </r>
  <r>
    <n v="646"/>
    <n v="21"/>
    <x v="1"/>
    <n v="33792"/>
    <n v="2819"/>
    <n v="568"/>
    <x v="0"/>
    <x v="0"/>
    <x v="1"/>
    <x v="536"/>
  </r>
  <r>
    <n v="648"/>
    <n v="24"/>
    <x v="1"/>
    <n v="50585"/>
    <n v="14749"/>
    <n v="824"/>
    <x v="1"/>
    <x v="2"/>
    <x v="1"/>
    <x v="537"/>
  </r>
  <r>
    <n v="649"/>
    <n v="21"/>
    <x v="1"/>
    <n v="45682"/>
    <n v="18514"/>
    <n v="832"/>
    <x v="0"/>
    <x v="2"/>
    <x v="1"/>
    <x v="538"/>
  </r>
  <r>
    <n v="650"/>
    <n v="52"/>
    <x v="1"/>
    <n v="62864"/>
    <n v="3658"/>
    <n v="618"/>
    <x v="0"/>
    <x v="0"/>
    <x v="2"/>
    <x v="539"/>
  </r>
  <r>
    <n v="651"/>
    <n v="54"/>
    <x v="0"/>
    <n v="79456"/>
    <n v="4500"/>
    <n v="576"/>
    <x v="0"/>
    <x v="0"/>
    <x v="2"/>
    <x v="540"/>
  </r>
  <r>
    <n v="652"/>
    <n v="48"/>
    <x v="0"/>
    <n v="33880"/>
    <n v="3120"/>
    <n v="603"/>
    <x v="0"/>
    <x v="0"/>
    <x v="1"/>
    <x v="541"/>
  </r>
  <r>
    <n v="653"/>
    <n v="51"/>
    <x v="1"/>
    <n v="70114"/>
    <n v="5020"/>
    <n v="470"/>
    <x v="0"/>
    <x v="0"/>
    <x v="2"/>
    <x v="542"/>
  </r>
  <r>
    <n v="655"/>
    <n v="59"/>
    <x v="0"/>
    <n v="53067"/>
    <n v="4259"/>
    <n v="665"/>
    <x v="0"/>
    <x v="1"/>
    <x v="1"/>
    <x v="543"/>
  </r>
  <r>
    <n v="657"/>
    <n v="54"/>
    <x v="1"/>
    <n v="71726"/>
    <n v="2823"/>
    <n v="744"/>
    <x v="1"/>
    <x v="1"/>
    <x v="2"/>
    <x v="544"/>
  </r>
  <r>
    <n v="658"/>
    <n v="23"/>
    <x v="1"/>
    <n v="33073"/>
    <n v="18858"/>
    <n v="690"/>
    <x v="0"/>
    <x v="1"/>
    <x v="1"/>
    <x v="545"/>
  </r>
  <r>
    <n v="659"/>
    <n v="32"/>
    <x v="1"/>
    <n v="51035"/>
    <n v="19626"/>
    <n v="607"/>
    <x v="0"/>
    <x v="0"/>
    <x v="1"/>
    <x v="546"/>
  </r>
  <r>
    <n v="660"/>
    <n v="21"/>
    <x v="1"/>
    <n v="79977"/>
    <n v="14467"/>
    <n v="401"/>
    <x v="0"/>
    <x v="0"/>
    <x v="2"/>
    <x v="547"/>
  </r>
  <r>
    <n v="661"/>
    <n v="25"/>
    <x v="0"/>
    <n v="52174"/>
    <n v="7990"/>
    <n v="523"/>
    <x v="0"/>
    <x v="0"/>
    <x v="1"/>
    <x v="548"/>
  </r>
  <r>
    <n v="662"/>
    <n v="50"/>
    <x v="1"/>
    <n v="39837"/>
    <n v="4134"/>
    <n v="679"/>
    <x v="0"/>
    <x v="1"/>
    <x v="1"/>
    <x v="549"/>
  </r>
  <r>
    <n v="663"/>
    <n v="50"/>
    <x v="1"/>
    <n v="32826"/>
    <n v="19454"/>
    <n v="473"/>
    <x v="0"/>
    <x v="0"/>
    <x v="1"/>
    <x v="550"/>
  </r>
  <r>
    <n v="664"/>
    <n v="37"/>
    <x v="1"/>
    <n v="39981"/>
    <n v="17743"/>
    <n v="565"/>
    <x v="0"/>
    <x v="0"/>
    <x v="1"/>
    <x v="551"/>
  </r>
  <r>
    <n v="665"/>
    <n v="43"/>
    <x v="1"/>
    <n v="25382"/>
    <n v="16434"/>
    <n v="421"/>
    <x v="0"/>
    <x v="0"/>
    <x v="0"/>
    <x v="552"/>
  </r>
  <r>
    <n v="668"/>
    <n v="41"/>
    <x v="0"/>
    <n v="79612"/>
    <n v="17378"/>
    <n v="838"/>
    <x v="1"/>
    <x v="2"/>
    <x v="2"/>
    <x v="553"/>
  </r>
  <r>
    <n v="669"/>
    <n v="34"/>
    <x v="1"/>
    <n v="39819"/>
    <n v="2141"/>
    <n v="694"/>
    <x v="1"/>
    <x v="1"/>
    <x v="1"/>
    <x v="554"/>
  </r>
  <r>
    <n v="671"/>
    <n v="31"/>
    <x v="0"/>
    <n v="51875"/>
    <n v="11135"/>
    <n v="556"/>
    <x v="0"/>
    <x v="0"/>
    <x v="1"/>
    <x v="555"/>
  </r>
  <r>
    <n v="672"/>
    <n v="59"/>
    <x v="1"/>
    <n v="46982"/>
    <n v="13966"/>
    <n v="629"/>
    <x v="0"/>
    <x v="0"/>
    <x v="1"/>
    <x v="556"/>
  </r>
  <r>
    <n v="673"/>
    <n v="58"/>
    <x v="1"/>
    <n v="48328"/>
    <n v="4361"/>
    <n v="419"/>
    <x v="0"/>
    <x v="0"/>
    <x v="1"/>
    <x v="557"/>
  </r>
  <r>
    <n v="674"/>
    <n v="54"/>
    <x v="0"/>
    <n v="27329"/>
    <n v="8835"/>
    <n v="440"/>
    <x v="0"/>
    <x v="0"/>
    <x v="0"/>
    <x v="558"/>
  </r>
  <r>
    <n v="675"/>
    <n v="58"/>
    <x v="0"/>
    <n v="75069"/>
    <n v="12172"/>
    <n v="837"/>
    <x v="1"/>
    <x v="2"/>
    <x v="2"/>
    <x v="559"/>
  </r>
  <r>
    <n v="676"/>
    <n v="54"/>
    <x v="0"/>
    <n v="40169"/>
    <n v="17390"/>
    <n v="547"/>
    <x v="0"/>
    <x v="0"/>
    <x v="1"/>
    <x v="560"/>
  </r>
  <r>
    <n v="677"/>
    <n v="38"/>
    <x v="0"/>
    <n v="36932"/>
    <n v="4267"/>
    <n v="507"/>
    <x v="0"/>
    <x v="0"/>
    <x v="1"/>
    <x v="561"/>
  </r>
  <r>
    <n v="678"/>
    <n v="50"/>
    <x v="1"/>
    <n v="49594"/>
    <n v="7564"/>
    <n v="802"/>
    <x v="1"/>
    <x v="2"/>
    <x v="1"/>
    <x v="562"/>
  </r>
  <r>
    <n v="679"/>
    <n v="35"/>
    <x v="1"/>
    <n v="26421"/>
    <n v="19990"/>
    <n v="483"/>
    <x v="0"/>
    <x v="0"/>
    <x v="0"/>
    <x v="563"/>
  </r>
  <r>
    <n v="680"/>
    <n v="47"/>
    <x v="0"/>
    <n v="75631"/>
    <n v="12411"/>
    <n v="766"/>
    <x v="1"/>
    <x v="2"/>
    <x v="2"/>
    <x v="564"/>
  </r>
  <r>
    <n v="681"/>
    <n v="54"/>
    <x v="1"/>
    <n v="60033"/>
    <n v="6906"/>
    <n v="721"/>
    <x v="1"/>
    <x v="1"/>
    <x v="2"/>
    <x v="565"/>
  </r>
  <r>
    <n v="683"/>
    <n v="53"/>
    <x v="0"/>
    <n v="22629"/>
    <n v="8611"/>
    <n v="708"/>
    <x v="0"/>
    <x v="1"/>
    <x v="0"/>
    <x v="566"/>
  </r>
  <r>
    <n v="685"/>
    <n v="35"/>
    <x v="0"/>
    <n v="67290"/>
    <n v="3011"/>
    <n v="805"/>
    <x v="1"/>
    <x v="2"/>
    <x v="2"/>
    <x v="567"/>
  </r>
  <r>
    <n v="686"/>
    <n v="50"/>
    <x v="1"/>
    <n v="43495"/>
    <n v="18826"/>
    <n v="722"/>
    <x v="0"/>
    <x v="1"/>
    <x v="1"/>
    <x v="568"/>
  </r>
  <r>
    <n v="688"/>
    <n v="25"/>
    <x v="1"/>
    <n v="44619"/>
    <n v="14790"/>
    <n v="606"/>
    <x v="0"/>
    <x v="0"/>
    <x v="1"/>
    <x v="569"/>
  </r>
  <r>
    <n v="690"/>
    <n v="24"/>
    <x v="0"/>
    <n v="23264"/>
    <n v="15730"/>
    <n v="665"/>
    <x v="0"/>
    <x v="1"/>
    <x v="0"/>
    <x v="570"/>
  </r>
  <r>
    <n v="691"/>
    <n v="30"/>
    <x v="1"/>
    <n v="27686"/>
    <n v="12120"/>
    <n v="472"/>
    <x v="0"/>
    <x v="0"/>
    <x v="0"/>
    <x v="571"/>
  </r>
  <r>
    <n v="692"/>
    <n v="37"/>
    <x v="0"/>
    <n v="61484"/>
    <n v="19213"/>
    <n v="751"/>
    <x v="1"/>
    <x v="2"/>
    <x v="2"/>
    <x v="572"/>
  </r>
  <r>
    <n v="693"/>
    <n v="30"/>
    <x v="0"/>
    <n v="39226"/>
    <n v="9767"/>
    <n v="447"/>
    <x v="0"/>
    <x v="0"/>
    <x v="1"/>
    <x v="573"/>
  </r>
  <r>
    <n v="694"/>
    <n v="37"/>
    <x v="0"/>
    <n v="21721"/>
    <n v="14703"/>
    <n v="725"/>
    <x v="0"/>
    <x v="1"/>
    <x v="0"/>
    <x v="574"/>
  </r>
  <r>
    <n v="695"/>
    <n v="40"/>
    <x v="0"/>
    <n v="71154"/>
    <n v="1929"/>
    <n v="632"/>
    <x v="0"/>
    <x v="0"/>
    <x v="2"/>
    <x v="575"/>
  </r>
  <r>
    <n v="696"/>
    <n v="44"/>
    <x v="1"/>
    <n v="35609"/>
    <n v="12951"/>
    <n v="842"/>
    <x v="1"/>
    <x v="2"/>
    <x v="1"/>
    <x v="576"/>
  </r>
  <r>
    <n v="697"/>
    <n v="25"/>
    <x v="1"/>
    <n v="67130"/>
    <n v="16845"/>
    <n v="499"/>
    <x v="0"/>
    <x v="0"/>
    <x v="2"/>
    <x v="577"/>
  </r>
  <r>
    <n v="698"/>
    <n v="54"/>
    <x v="0"/>
    <n v="79977"/>
    <n v="18438"/>
    <n v="458"/>
    <x v="0"/>
    <x v="0"/>
    <x v="2"/>
    <x v="578"/>
  </r>
  <r>
    <n v="699"/>
    <n v="26"/>
    <x v="0"/>
    <n v="22373"/>
    <n v="16747"/>
    <n v="657"/>
    <x v="0"/>
    <x v="1"/>
    <x v="0"/>
    <x v="579"/>
  </r>
  <r>
    <n v="700"/>
    <n v="22"/>
    <x v="1"/>
    <n v="53675"/>
    <n v="6744"/>
    <n v="812"/>
    <x v="1"/>
    <x v="2"/>
    <x v="1"/>
    <x v="580"/>
  </r>
  <r>
    <n v="702"/>
    <n v="31"/>
    <x v="1"/>
    <n v="63895"/>
    <n v="10649"/>
    <n v="482"/>
    <x v="0"/>
    <x v="0"/>
    <x v="2"/>
    <x v="581"/>
  </r>
  <r>
    <n v="703"/>
    <n v="43"/>
    <x v="0"/>
    <n v="43937"/>
    <n v="7980"/>
    <n v="553"/>
    <x v="0"/>
    <x v="0"/>
    <x v="1"/>
    <x v="582"/>
  </r>
  <r>
    <n v="704"/>
    <n v="36"/>
    <x v="1"/>
    <n v="20656"/>
    <n v="8069"/>
    <n v="665"/>
    <x v="0"/>
    <x v="1"/>
    <x v="0"/>
    <x v="583"/>
  </r>
  <r>
    <n v="705"/>
    <n v="51"/>
    <x v="0"/>
    <n v="74329"/>
    <n v="10591"/>
    <n v="708"/>
    <x v="1"/>
    <x v="1"/>
    <x v="2"/>
    <x v="584"/>
  </r>
  <r>
    <n v="706"/>
    <n v="31"/>
    <x v="0"/>
    <n v="23984"/>
    <n v="1442"/>
    <n v="478"/>
    <x v="0"/>
    <x v="0"/>
    <x v="0"/>
    <x v="585"/>
  </r>
  <r>
    <n v="707"/>
    <n v="36"/>
    <x v="1"/>
    <n v="78740"/>
    <n v="5652"/>
    <n v="714"/>
    <x v="1"/>
    <x v="1"/>
    <x v="2"/>
    <x v="586"/>
  </r>
  <r>
    <n v="708"/>
    <n v="28"/>
    <x v="0"/>
    <n v="79309"/>
    <n v="10370"/>
    <n v="549"/>
    <x v="0"/>
    <x v="0"/>
    <x v="2"/>
    <x v="587"/>
  </r>
  <r>
    <n v="709"/>
    <n v="24"/>
    <x v="0"/>
    <n v="44984"/>
    <n v="8597"/>
    <n v="834"/>
    <x v="1"/>
    <x v="2"/>
    <x v="1"/>
    <x v="588"/>
  </r>
  <r>
    <n v="710"/>
    <n v="24"/>
    <x v="1"/>
    <n v="68411"/>
    <n v="15325"/>
    <n v="447"/>
    <x v="0"/>
    <x v="0"/>
    <x v="2"/>
    <x v="589"/>
  </r>
  <r>
    <n v="711"/>
    <n v="45"/>
    <x v="0"/>
    <n v="23286"/>
    <n v="5458"/>
    <n v="804"/>
    <x v="0"/>
    <x v="2"/>
    <x v="0"/>
    <x v="590"/>
  </r>
  <r>
    <n v="712"/>
    <n v="23"/>
    <x v="1"/>
    <n v="20901"/>
    <n v="7591"/>
    <n v="778"/>
    <x v="0"/>
    <x v="2"/>
    <x v="0"/>
    <x v="591"/>
  </r>
  <r>
    <n v="714"/>
    <n v="23"/>
    <x v="0"/>
    <n v="40709"/>
    <n v="12826"/>
    <n v="677"/>
    <x v="0"/>
    <x v="1"/>
    <x v="1"/>
    <x v="592"/>
  </r>
  <r>
    <n v="715"/>
    <n v="47"/>
    <x v="0"/>
    <n v="46055"/>
    <n v="19693"/>
    <n v="755"/>
    <x v="0"/>
    <x v="2"/>
    <x v="1"/>
    <x v="593"/>
  </r>
  <r>
    <n v="716"/>
    <n v="49"/>
    <x v="0"/>
    <n v="52685"/>
    <n v="15138"/>
    <n v="497"/>
    <x v="0"/>
    <x v="0"/>
    <x v="1"/>
    <x v="594"/>
  </r>
  <r>
    <n v="717"/>
    <n v="52"/>
    <x v="0"/>
    <n v="23429"/>
    <n v="18294"/>
    <n v="813"/>
    <x v="0"/>
    <x v="2"/>
    <x v="0"/>
    <x v="595"/>
  </r>
  <r>
    <n v="718"/>
    <n v="39"/>
    <x v="0"/>
    <n v="29716"/>
    <n v="3169"/>
    <n v="424"/>
    <x v="0"/>
    <x v="0"/>
    <x v="0"/>
    <x v="596"/>
  </r>
  <r>
    <n v="719"/>
    <n v="41"/>
    <x v="0"/>
    <n v="48500"/>
    <n v="19556"/>
    <n v="683"/>
    <x v="1"/>
    <x v="1"/>
    <x v="1"/>
    <x v="597"/>
  </r>
  <r>
    <n v="720"/>
    <n v="25"/>
    <x v="0"/>
    <n v="26138"/>
    <n v="7313"/>
    <n v="848"/>
    <x v="1"/>
    <x v="2"/>
    <x v="0"/>
    <x v="598"/>
  </r>
  <r>
    <n v="721"/>
    <n v="38"/>
    <x v="1"/>
    <n v="50298"/>
    <n v="9315"/>
    <n v="768"/>
    <x v="1"/>
    <x v="2"/>
    <x v="1"/>
    <x v="599"/>
  </r>
  <r>
    <n v="722"/>
    <n v="48"/>
    <x v="0"/>
    <n v="66112"/>
    <n v="9036"/>
    <n v="700"/>
    <x v="1"/>
    <x v="1"/>
    <x v="2"/>
    <x v="600"/>
  </r>
  <r>
    <n v="723"/>
    <n v="42"/>
    <x v="1"/>
    <n v="38429"/>
    <n v="1785"/>
    <n v="467"/>
    <x v="0"/>
    <x v="0"/>
    <x v="1"/>
    <x v="601"/>
  </r>
  <r>
    <n v="727"/>
    <n v="25"/>
    <x v="0"/>
    <n v="66681"/>
    <n v="15973"/>
    <n v="563"/>
    <x v="0"/>
    <x v="0"/>
    <x v="2"/>
    <x v="602"/>
  </r>
  <r>
    <n v="728"/>
    <n v="32"/>
    <x v="0"/>
    <n v="63519"/>
    <n v="6619"/>
    <n v="482"/>
    <x v="0"/>
    <x v="0"/>
    <x v="2"/>
    <x v="603"/>
  </r>
  <r>
    <n v="729"/>
    <n v="46"/>
    <x v="1"/>
    <n v="50732"/>
    <n v="2936"/>
    <n v="784"/>
    <x v="1"/>
    <x v="2"/>
    <x v="1"/>
    <x v="604"/>
  </r>
  <r>
    <n v="730"/>
    <n v="54"/>
    <x v="0"/>
    <n v="54905"/>
    <n v="4807"/>
    <n v="537"/>
    <x v="0"/>
    <x v="0"/>
    <x v="1"/>
    <x v="605"/>
  </r>
  <r>
    <n v="731"/>
    <n v="34"/>
    <x v="0"/>
    <n v="32347"/>
    <n v="8151"/>
    <n v="819"/>
    <x v="1"/>
    <x v="2"/>
    <x v="1"/>
    <x v="606"/>
  </r>
  <r>
    <n v="732"/>
    <n v="46"/>
    <x v="0"/>
    <n v="31920"/>
    <n v="10493"/>
    <n v="472"/>
    <x v="0"/>
    <x v="0"/>
    <x v="1"/>
    <x v="607"/>
  </r>
  <r>
    <n v="733"/>
    <n v="47"/>
    <x v="1"/>
    <n v="46822"/>
    <n v="13355"/>
    <n v="636"/>
    <x v="0"/>
    <x v="0"/>
    <x v="1"/>
    <x v="608"/>
  </r>
  <r>
    <n v="736"/>
    <n v="42"/>
    <x v="0"/>
    <n v="78419"/>
    <n v="3352"/>
    <n v="815"/>
    <x v="1"/>
    <x v="2"/>
    <x v="2"/>
    <x v="609"/>
  </r>
  <r>
    <n v="737"/>
    <n v="50"/>
    <x v="0"/>
    <n v="38563"/>
    <n v="2932"/>
    <n v="687"/>
    <x v="1"/>
    <x v="1"/>
    <x v="1"/>
    <x v="610"/>
  </r>
  <r>
    <n v="738"/>
    <n v="37"/>
    <x v="1"/>
    <n v="22967"/>
    <n v="11913"/>
    <n v="661"/>
    <x v="0"/>
    <x v="1"/>
    <x v="0"/>
    <x v="611"/>
  </r>
  <r>
    <n v="739"/>
    <n v="46"/>
    <x v="1"/>
    <n v="60183"/>
    <n v="9556"/>
    <n v="575"/>
    <x v="0"/>
    <x v="0"/>
    <x v="2"/>
    <x v="612"/>
  </r>
  <r>
    <n v="740"/>
    <n v="56"/>
    <x v="0"/>
    <n v="26871"/>
    <n v="6498"/>
    <n v="565"/>
    <x v="0"/>
    <x v="0"/>
    <x v="0"/>
    <x v="613"/>
  </r>
  <r>
    <n v="741"/>
    <n v="21"/>
    <x v="0"/>
    <n v="43763"/>
    <n v="11582"/>
    <n v="544"/>
    <x v="0"/>
    <x v="0"/>
    <x v="1"/>
    <x v="614"/>
  </r>
  <r>
    <n v="742"/>
    <n v="28"/>
    <x v="1"/>
    <n v="26916"/>
    <n v="18330"/>
    <n v="729"/>
    <x v="0"/>
    <x v="1"/>
    <x v="0"/>
    <x v="615"/>
  </r>
  <r>
    <n v="743"/>
    <n v="55"/>
    <x v="1"/>
    <n v="23734"/>
    <n v="14865"/>
    <n v="769"/>
    <x v="0"/>
    <x v="2"/>
    <x v="0"/>
    <x v="616"/>
  </r>
  <r>
    <n v="744"/>
    <n v="35"/>
    <x v="0"/>
    <n v="48500"/>
    <n v="10569"/>
    <n v="682"/>
    <x v="1"/>
    <x v="1"/>
    <x v="1"/>
    <x v="617"/>
  </r>
  <r>
    <n v="745"/>
    <n v="42"/>
    <x v="1"/>
    <n v="43179"/>
    <n v="18823"/>
    <n v="453"/>
    <x v="0"/>
    <x v="0"/>
    <x v="1"/>
    <x v="618"/>
  </r>
  <r>
    <n v="746"/>
    <n v="34"/>
    <x v="0"/>
    <n v="69929"/>
    <n v="5857"/>
    <n v="577"/>
    <x v="0"/>
    <x v="0"/>
    <x v="2"/>
    <x v="619"/>
  </r>
  <r>
    <n v="748"/>
    <n v="48"/>
    <x v="1"/>
    <n v="70099"/>
    <n v="12181"/>
    <n v="643"/>
    <x v="0"/>
    <x v="0"/>
    <x v="2"/>
    <x v="620"/>
  </r>
  <r>
    <n v="749"/>
    <n v="43"/>
    <x v="1"/>
    <n v="50262"/>
    <n v="17766"/>
    <n v="740"/>
    <x v="1"/>
    <x v="1"/>
    <x v="1"/>
    <x v="621"/>
  </r>
  <r>
    <n v="750"/>
    <n v="34"/>
    <x v="1"/>
    <n v="27677"/>
    <n v="9491"/>
    <n v="526"/>
    <x v="0"/>
    <x v="0"/>
    <x v="0"/>
    <x v="622"/>
  </r>
  <r>
    <n v="751"/>
    <n v="44"/>
    <x v="0"/>
    <n v="66871"/>
    <n v="1138"/>
    <n v="808"/>
    <x v="1"/>
    <x v="2"/>
    <x v="2"/>
    <x v="623"/>
  </r>
  <r>
    <n v="752"/>
    <n v="22"/>
    <x v="1"/>
    <n v="33268"/>
    <n v="1358"/>
    <n v="811"/>
    <x v="1"/>
    <x v="2"/>
    <x v="1"/>
    <x v="624"/>
  </r>
  <r>
    <n v="753"/>
    <n v="46"/>
    <x v="1"/>
    <n v="27330"/>
    <n v="10714"/>
    <n v="766"/>
    <x v="1"/>
    <x v="2"/>
    <x v="0"/>
    <x v="625"/>
  </r>
  <r>
    <n v="754"/>
    <n v="34"/>
    <x v="0"/>
    <n v="35733"/>
    <n v="2627"/>
    <n v="670"/>
    <x v="0"/>
    <x v="1"/>
    <x v="1"/>
    <x v="626"/>
  </r>
  <r>
    <n v="755"/>
    <n v="27"/>
    <x v="1"/>
    <n v="75545"/>
    <n v="16996"/>
    <n v="531"/>
    <x v="0"/>
    <x v="0"/>
    <x v="2"/>
    <x v="627"/>
  </r>
  <r>
    <n v="757"/>
    <n v="43"/>
    <x v="0"/>
    <n v="42286"/>
    <n v="14283"/>
    <n v="778"/>
    <x v="1"/>
    <x v="2"/>
    <x v="1"/>
    <x v="628"/>
  </r>
  <r>
    <n v="758"/>
    <n v="38"/>
    <x v="1"/>
    <n v="21610"/>
    <n v="7652"/>
    <n v="472"/>
    <x v="0"/>
    <x v="0"/>
    <x v="0"/>
    <x v="629"/>
  </r>
  <r>
    <n v="759"/>
    <n v="58"/>
    <x v="0"/>
    <n v="21430"/>
    <n v="3151"/>
    <n v="810"/>
    <x v="0"/>
    <x v="2"/>
    <x v="0"/>
    <x v="630"/>
  </r>
  <r>
    <n v="761"/>
    <n v="35"/>
    <x v="0"/>
    <n v="28828"/>
    <n v="15072"/>
    <n v="802"/>
    <x v="0"/>
    <x v="2"/>
    <x v="0"/>
    <x v="631"/>
  </r>
  <r>
    <n v="762"/>
    <n v="45"/>
    <x v="0"/>
    <n v="79978"/>
    <n v="12927"/>
    <n v="647"/>
    <x v="0"/>
    <x v="0"/>
    <x v="2"/>
    <x v="632"/>
  </r>
  <r>
    <n v="763"/>
    <n v="57"/>
    <x v="1"/>
    <n v="57913"/>
    <n v="7905"/>
    <n v="747"/>
    <x v="1"/>
    <x v="1"/>
    <x v="1"/>
    <x v="633"/>
  </r>
  <r>
    <n v="764"/>
    <n v="48"/>
    <x v="0"/>
    <n v="46497"/>
    <n v="13452"/>
    <n v="672"/>
    <x v="0"/>
    <x v="1"/>
    <x v="1"/>
    <x v="634"/>
  </r>
  <r>
    <n v="765"/>
    <n v="30"/>
    <x v="1"/>
    <n v="54256"/>
    <n v="17212"/>
    <n v="442"/>
    <x v="0"/>
    <x v="0"/>
    <x v="1"/>
    <x v="635"/>
  </r>
  <r>
    <n v="766"/>
    <n v="59"/>
    <x v="1"/>
    <n v="68889"/>
    <n v="19951"/>
    <n v="776"/>
    <x v="1"/>
    <x v="2"/>
    <x v="2"/>
    <x v="636"/>
  </r>
  <r>
    <n v="769"/>
    <n v="42"/>
    <x v="1"/>
    <n v="64841"/>
    <n v="3660"/>
    <n v="833"/>
    <x v="1"/>
    <x v="2"/>
    <x v="2"/>
    <x v="637"/>
  </r>
  <r>
    <n v="770"/>
    <n v="46"/>
    <x v="1"/>
    <n v="61332"/>
    <n v="11403"/>
    <n v="611"/>
    <x v="0"/>
    <x v="0"/>
    <x v="2"/>
    <x v="638"/>
  </r>
  <r>
    <n v="771"/>
    <n v="45"/>
    <x v="1"/>
    <n v="41526"/>
    <n v="11238"/>
    <n v="567"/>
    <x v="0"/>
    <x v="0"/>
    <x v="1"/>
    <x v="639"/>
  </r>
  <r>
    <n v="775"/>
    <n v="45"/>
    <x v="0"/>
    <n v="52846"/>
    <n v="4630"/>
    <n v="550"/>
    <x v="0"/>
    <x v="0"/>
    <x v="1"/>
    <x v="640"/>
  </r>
  <r>
    <n v="777"/>
    <n v="30"/>
    <x v="0"/>
    <n v="48500"/>
    <n v="13021"/>
    <n v="835"/>
    <x v="1"/>
    <x v="2"/>
    <x v="1"/>
    <x v="641"/>
  </r>
  <r>
    <n v="778"/>
    <n v="23"/>
    <x v="1"/>
    <n v="44794"/>
    <n v="17859"/>
    <n v="446"/>
    <x v="0"/>
    <x v="0"/>
    <x v="1"/>
    <x v="642"/>
  </r>
  <r>
    <n v="779"/>
    <n v="38"/>
    <x v="0"/>
    <n v="76588"/>
    <n v="8684"/>
    <n v="462"/>
    <x v="0"/>
    <x v="0"/>
    <x v="2"/>
    <x v="643"/>
  </r>
  <r>
    <n v="780"/>
    <n v="56"/>
    <x v="0"/>
    <n v="20448"/>
    <n v="2207"/>
    <n v="624"/>
    <x v="0"/>
    <x v="0"/>
    <x v="0"/>
    <x v="644"/>
  </r>
  <r>
    <n v="781"/>
    <n v="42"/>
    <x v="0"/>
    <n v="65331"/>
    <n v="14331"/>
    <n v="765"/>
    <x v="1"/>
    <x v="2"/>
    <x v="2"/>
    <x v="645"/>
  </r>
  <r>
    <n v="782"/>
    <n v="54"/>
    <x v="1"/>
    <n v="43861"/>
    <n v="2960"/>
    <n v="468"/>
    <x v="0"/>
    <x v="0"/>
    <x v="1"/>
    <x v="646"/>
  </r>
  <r>
    <n v="783"/>
    <n v="28"/>
    <x v="1"/>
    <n v="43141"/>
    <n v="1557"/>
    <n v="698"/>
    <x v="1"/>
    <x v="1"/>
    <x v="1"/>
    <x v="647"/>
  </r>
  <r>
    <n v="784"/>
    <n v="39"/>
    <x v="1"/>
    <n v="24074"/>
    <n v="16883"/>
    <n v="831"/>
    <x v="0"/>
    <x v="2"/>
    <x v="0"/>
    <x v="648"/>
  </r>
  <r>
    <n v="785"/>
    <n v="57"/>
    <x v="1"/>
    <n v="21406"/>
    <n v="14893"/>
    <n v="689"/>
    <x v="0"/>
    <x v="1"/>
    <x v="0"/>
    <x v="649"/>
  </r>
  <r>
    <n v="788"/>
    <n v="54"/>
    <x v="0"/>
    <n v="38291"/>
    <n v="6867"/>
    <n v="460"/>
    <x v="0"/>
    <x v="0"/>
    <x v="1"/>
    <x v="650"/>
  </r>
  <r>
    <n v="789"/>
    <n v="26"/>
    <x v="0"/>
    <n v="56568"/>
    <n v="13869"/>
    <n v="833"/>
    <x v="1"/>
    <x v="2"/>
    <x v="1"/>
    <x v="651"/>
  </r>
  <r>
    <n v="791"/>
    <n v="53"/>
    <x v="1"/>
    <n v="61851"/>
    <n v="13982"/>
    <n v="713"/>
    <x v="1"/>
    <x v="1"/>
    <x v="2"/>
    <x v="652"/>
  </r>
  <r>
    <n v="792"/>
    <n v="42"/>
    <x v="1"/>
    <n v="49406"/>
    <n v="8929"/>
    <n v="560"/>
    <x v="0"/>
    <x v="0"/>
    <x v="1"/>
    <x v="653"/>
  </r>
  <r>
    <n v="793"/>
    <n v="41"/>
    <x v="0"/>
    <n v="69823"/>
    <n v="6347"/>
    <n v="730"/>
    <x v="1"/>
    <x v="1"/>
    <x v="2"/>
    <x v="654"/>
  </r>
  <r>
    <n v="794"/>
    <n v="26"/>
    <x v="1"/>
    <n v="38312"/>
    <n v="8269"/>
    <n v="415"/>
    <x v="0"/>
    <x v="0"/>
    <x v="1"/>
    <x v="655"/>
  </r>
  <r>
    <n v="795"/>
    <n v="26"/>
    <x v="1"/>
    <n v="58108"/>
    <n v="14527"/>
    <n v="737"/>
    <x v="1"/>
    <x v="1"/>
    <x v="1"/>
    <x v="656"/>
  </r>
  <r>
    <n v="796"/>
    <n v="24"/>
    <x v="0"/>
    <n v="16382"/>
    <n v="3454"/>
    <n v="493"/>
    <x v="0"/>
    <x v="0"/>
    <x v="0"/>
    <x v="657"/>
  </r>
  <r>
    <n v="797"/>
    <n v="50"/>
    <x v="0"/>
    <n v="49171"/>
    <n v="19330"/>
    <n v="703"/>
    <x v="1"/>
    <x v="1"/>
    <x v="1"/>
    <x v="658"/>
  </r>
  <r>
    <n v="798"/>
    <n v="31"/>
    <x v="1"/>
    <n v="56779"/>
    <n v="13991"/>
    <n v="537"/>
    <x v="0"/>
    <x v="0"/>
    <x v="1"/>
    <x v="659"/>
  </r>
  <r>
    <n v="799"/>
    <n v="50"/>
    <x v="1"/>
    <n v="18292"/>
    <n v="3808"/>
    <n v="737"/>
    <x v="0"/>
    <x v="1"/>
    <x v="0"/>
    <x v="660"/>
  </r>
  <r>
    <n v="800"/>
    <n v="51"/>
    <x v="1"/>
    <n v="48500"/>
    <n v="7642"/>
    <n v="437"/>
    <x v="0"/>
    <x v="0"/>
    <x v="1"/>
    <x v="661"/>
  </r>
  <r>
    <n v="802"/>
    <n v="29"/>
    <x v="1"/>
    <n v="27411"/>
    <n v="4536"/>
    <n v="674"/>
    <x v="0"/>
    <x v="1"/>
    <x v="0"/>
    <x v="662"/>
  </r>
  <r>
    <n v="804"/>
    <n v="51"/>
    <x v="0"/>
    <n v="67454"/>
    <n v="4802"/>
    <n v="842"/>
    <x v="1"/>
    <x v="2"/>
    <x v="2"/>
    <x v="663"/>
  </r>
  <r>
    <n v="805"/>
    <n v="57"/>
    <x v="0"/>
    <n v="72009"/>
    <n v="19354"/>
    <n v="718"/>
    <x v="1"/>
    <x v="1"/>
    <x v="2"/>
    <x v="664"/>
  </r>
  <r>
    <n v="807"/>
    <n v="44"/>
    <x v="1"/>
    <n v="57468"/>
    <n v="10094"/>
    <n v="573"/>
    <x v="0"/>
    <x v="0"/>
    <x v="1"/>
    <x v="665"/>
  </r>
  <r>
    <n v="808"/>
    <n v="51"/>
    <x v="0"/>
    <n v="47371"/>
    <n v="1364"/>
    <n v="786"/>
    <x v="1"/>
    <x v="2"/>
    <x v="1"/>
    <x v="666"/>
  </r>
  <r>
    <n v="809"/>
    <n v="26"/>
    <x v="1"/>
    <n v="72022"/>
    <n v="16688"/>
    <n v="757"/>
    <x v="1"/>
    <x v="2"/>
    <x v="2"/>
    <x v="667"/>
  </r>
  <r>
    <n v="810"/>
    <n v="22"/>
    <x v="1"/>
    <n v="20693"/>
    <n v="2863"/>
    <n v="720"/>
    <x v="0"/>
    <x v="1"/>
    <x v="0"/>
    <x v="668"/>
  </r>
  <r>
    <n v="811"/>
    <n v="40"/>
    <x v="0"/>
    <n v="48535"/>
    <n v="17499"/>
    <n v="775"/>
    <x v="1"/>
    <x v="2"/>
    <x v="1"/>
    <x v="669"/>
  </r>
  <r>
    <n v="812"/>
    <n v="48"/>
    <x v="1"/>
    <n v="66196"/>
    <n v="8084"/>
    <n v="490"/>
    <x v="0"/>
    <x v="0"/>
    <x v="2"/>
    <x v="670"/>
  </r>
  <r>
    <n v="815"/>
    <n v="35"/>
    <x v="0"/>
    <n v="45874"/>
    <n v="16072"/>
    <n v="578"/>
    <x v="0"/>
    <x v="0"/>
    <x v="1"/>
    <x v="671"/>
  </r>
  <r>
    <n v="816"/>
    <n v="26"/>
    <x v="0"/>
    <n v="41715"/>
    <n v="4935"/>
    <n v="608"/>
    <x v="0"/>
    <x v="0"/>
    <x v="1"/>
    <x v="672"/>
  </r>
  <r>
    <n v="817"/>
    <n v="50"/>
    <x v="1"/>
    <n v="42605"/>
    <n v="14127"/>
    <n v="472"/>
    <x v="0"/>
    <x v="0"/>
    <x v="1"/>
    <x v="673"/>
  </r>
  <r>
    <n v="818"/>
    <n v="58"/>
    <x v="0"/>
    <n v="49317"/>
    <n v="15482"/>
    <n v="789"/>
    <x v="1"/>
    <x v="2"/>
    <x v="1"/>
    <x v="674"/>
  </r>
  <r>
    <n v="819"/>
    <n v="22"/>
    <x v="0"/>
    <n v="46174"/>
    <n v="8742"/>
    <n v="506"/>
    <x v="0"/>
    <x v="0"/>
    <x v="1"/>
    <x v="675"/>
  </r>
  <r>
    <n v="820"/>
    <n v="35"/>
    <x v="1"/>
    <n v="24956"/>
    <n v="17165"/>
    <n v="744"/>
    <x v="0"/>
    <x v="1"/>
    <x v="0"/>
    <x v="676"/>
  </r>
  <r>
    <n v="821"/>
    <n v="31"/>
    <x v="0"/>
    <n v="53908"/>
    <n v="3490"/>
    <n v="694"/>
    <x v="1"/>
    <x v="1"/>
    <x v="1"/>
    <x v="677"/>
  </r>
  <r>
    <n v="822"/>
    <n v="28"/>
    <x v="0"/>
    <n v="25837"/>
    <n v="14324"/>
    <n v="768"/>
    <x v="0"/>
    <x v="2"/>
    <x v="0"/>
    <x v="678"/>
  </r>
  <r>
    <n v="823"/>
    <n v="46"/>
    <x v="0"/>
    <n v="18716"/>
    <n v="19108"/>
    <n v="843"/>
    <x v="0"/>
    <x v="2"/>
    <x v="0"/>
    <x v="679"/>
  </r>
  <r>
    <n v="824"/>
    <n v="25"/>
    <x v="1"/>
    <n v="76949"/>
    <n v="2137"/>
    <n v="683"/>
    <x v="1"/>
    <x v="1"/>
    <x v="2"/>
    <x v="680"/>
  </r>
  <r>
    <n v="825"/>
    <n v="26"/>
    <x v="1"/>
    <n v="77646"/>
    <n v="4420"/>
    <n v="752"/>
    <x v="1"/>
    <x v="2"/>
    <x v="2"/>
    <x v="681"/>
  </r>
  <r>
    <n v="826"/>
    <n v="46"/>
    <x v="1"/>
    <n v="19481"/>
    <n v="6845"/>
    <n v="581"/>
    <x v="0"/>
    <x v="0"/>
    <x v="0"/>
    <x v="682"/>
  </r>
  <r>
    <n v="827"/>
    <n v="24"/>
    <x v="1"/>
    <n v="78037"/>
    <n v="4906"/>
    <n v="436"/>
    <x v="0"/>
    <x v="0"/>
    <x v="2"/>
    <x v="683"/>
  </r>
  <r>
    <n v="828"/>
    <n v="39"/>
    <x v="0"/>
    <n v="39282"/>
    <n v="13413"/>
    <n v="536"/>
    <x v="0"/>
    <x v="0"/>
    <x v="1"/>
    <x v="684"/>
  </r>
  <r>
    <n v="829"/>
    <n v="40"/>
    <x v="1"/>
    <n v="21548"/>
    <n v="1276"/>
    <n v="737"/>
    <x v="0"/>
    <x v="1"/>
    <x v="0"/>
    <x v="685"/>
  </r>
  <r>
    <n v="830"/>
    <n v="53"/>
    <x v="1"/>
    <n v="48500"/>
    <n v="19383"/>
    <n v="455"/>
    <x v="0"/>
    <x v="0"/>
    <x v="1"/>
    <x v="686"/>
  </r>
  <r>
    <n v="831"/>
    <n v="40"/>
    <x v="0"/>
    <n v="52605"/>
    <n v="18611"/>
    <n v="586"/>
    <x v="0"/>
    <x v="0"/>
    <x v="1"/>
    <x v="687"/>
  </r>
  <r>
    <n v="832"/>
    <n v="32"/>
    <x v="0"/>
    <n v="22758"/>
    <n v="7337"/>
    <n v="740"/>
    <x v="0"/>
    <x v="1"/>
    <x v="0"/>
    <x v="688"/>
  </r>
  <r>
    <n v="834"/>
    <n v="46"/>
    <x v="1"/>
    <n v="38177"/>
    <n v="16906"/>
    <n v="844"/>
    <x v="0"/>
    <x v="2"/>
    <x v="1"/>
    <x v="689"/>
  </r>
  <r>
    <n v="835"/>
    <n v="34"/>
    <x v="1"/>
    <n v="39022"/>
    <n v="18079"/>
    <n v="457"/>
    <x v="0"/>
    <x v="0"/>
    <x v="1"/>
    <x v="690"/>
  </r>
  <r>
    <n v="836"/>
    <n v="58"/>
    <x v="1"/>
    <n v="55761"/>
    <n v="13306"/>
    <n v="762"/>
    <x v="1"/>
    <x v="2"/>
    <x v="1"/>
    <x v="691"/>
  </r>
  <r>
    <n v="837"/>
    <n v="57"/>
    <x v="0"/>
    <n v="70159"/>
    <n v="11503"/>
    <n v="522"/>
    <x v="0"/>
    <x v="0"/>
    <x v="2"/>
    <x v="692"/>
  </r>
  <r>
    <n v="838"/>
    <n v="31"/>
    <x v="0"/>
    <n v="20542"/>
    <n v="5208"/>
    <n v="587"/>
    <x v="0"/>
    <x v="0"/>
    <x v="0"/>
    <x v="693"/>
  </r>
  <r>
    <n v="839"/>
    <n v="56"/>
    <x v="1"/>
    <n v="40476"/>
    <n v="12590"/>
    <n v="629"/>
    <x v="0"/>
    <x v="0"/>
    <x v="1"/>
    <x v="694"/>
  </r>
  <r>
    <n v="840"/>
    <n v="33"/>
    <x v="0"/>
    <n v="45784"/>
    <n v="11886"/>
    <n v="567"/>
    <x v="0"/>
    <x v="0"/>
    <x v="1"/>
    <x v="695"/>
  </r>
  <r>
    <n v="841"/>
    <n v="23"/>
    <x v="0"/>
    <n v="75428"/>
    <n v="13866"/>
    <n v="819"/>
    <x v="1"/>
    <x v="2"/>
    <x v="2"/>
    <x v="696"/>
  </r>
  <r>
    <n v="843"/>
    <n v="26"/>
    <x v="1"/>
    <n v="74353"/>
    <n v="4363"/>
    <n v="651"/>
    <x v="0"/>
    <x v="1"/>
    <x v="2"/>
    <x v="697"/>
  </r>
  <r>
    <n v="844"/>
    <n v="30"/>
    <x v="0"/>
    <n v="39817"/>
    <n v="1024"/>
    <n v="506"/>
    <x v="0"/>
    <x v="0"/>
    <x v="1"/>
    <x v="698"/>
  </r>
  <r>
    <n v="845"/>
    <n v="25"/>
    <x v="0"/>
    <n v="62596"/>
    <n v="10764"/>
    <n v="436"/>
    <x v="0"/>
    <x v="0"/>
    <x v="2"/>
    <x v="699"/>
  </r>
  <r>
    <n v="846"/>
    <n v="43"/>
    <x v="1"/>
    <n v="71532"/>
    <n v="10959"/>
    <n v="734"/>
    <x v="1"/>
    <x v="1"/>
    <x v="2"/>
    <x v="700"/>
  </r>
  <r>
    <n v="848"/>
    <n v="22"/>
    <x v="0"/>
    <n v="50153"/>
    <n v="9068"/>
    <n v="417"/>
    <x v="0"/>
    <x v="0"/>
    <x v="1"/>
    <x v="701"/>
  </r>
  <r>
    <n v="849"/>
    <n v="33"/>
    <x v="0"/>
    <n v="62076"/>
    <n v="19619"/>
    <n v="753"/>
    <x v="1"/>
    <x v="2"/>
    <x v="2"/>
    <x v="702"/>
  </r>
  <r>
    <n v="850"/>
    <n v="22"/>
    <x v="1"/>
    <n v="68420"/>
    <n v="8295"/>
    <n v="462"/>
    <x v="0"/>
    <x v="0"/>
    <x v="2"/>
    <x v="703"/>
  </r>
  <r>
    <n v="851"/>
    <n v="40"/>
    <x v="1"/>
    <n v="15671"/>
    <n v="9392"/>
    <n v="549"/>
    <x v="0"/>
    <x v="0"/>
    <x v="0"/>
    <x v="704"/>
  </r>
  <r>
    <n v="852"/>
    <n v="21"/>
    <x v="0"/>
    <n v="15163"/>
    <n v="12390"/>
    <n v="538"/>
    <x v="0"/>
    <x v="0"/>
    <x v="0"/>
    <x v="705"/>
  </r>
  <r>
    <n v="853"/>
    <n v="57"/>
    <x v="0"/>
    <n v="56424"/>
    <n v="9448"/>
    <n v="585"/>
    <x v="0"/>
    <x v="0"/>
    <x v="1"/>
    <x v="706"/>
  </r>
  <r>
    <n v="854"/>
    <n v="29"/>
    <x v="0"/>
    <n v="59002"/>
    <n v="11433"/>
    <n v="584"/>
    <x v="0"/>
    <x v="0"/>
    <x v="1"/>
    <x v="707"/>
  </r>
  <r>
    <n v="855"/>
    <n v="37"/>
    <x v="0"/>
    <n v="68744"/>
    <n v="16038"/>
    <n v="604"/>
    <x v="0"/>
    <x v="0"/>
    <x v="2"/>
    <x v="708"/>
  </r>
  <r>
    <n v="856"/>
    <n v="29"/>
    <x v="1"/>
    <n v="19795"/>
    <n v="12528"/>
    <n v="659"/>
    <x v="0"/>
    <x v="1"/>
    <x v="0"/>
    <x v="709"/>
  </r>
  <r>
    <n v="857"/>
    <n v="31"/>
    <x v="0"/>
    <n v="25634"/>
    <n v="16743"/>
    <n v="613"/>
    <x v="0"/>
    <x v="0"/>
    <x v="0"/>
    <x v="710"/>
  </r>
  <r>
    <n v="858"/>
    <n v="35"/>
    <x v="0"/>
    <n v="19798"/>
    <n v="9605"/>
    <n v="655"/>
    <x v="0"/>
    <x v="1"/>
    <x v="0"/>
    <x v="711"/>
  </r>
  <r>
    <n v="861"/>
    <n v="55"/>
    <x v="1"/>
    <n v="70039"/>
    <n v="2098"/>
    <n v="762"/>
    <x v="1"/>
    <x v="2"/>
    <x v="2"/>
    <x v="712"/>
  </r>
  <r>
    <n v="863"/>
    <n v="51"/>
    <x v="0"/>
    <n v="44300"/>
    <n v="1187"/>
    <n v="487"/>
    <x v="0"/>
    <x v="0"/>
    <x v="1"/>
    <x v="713"/>
  </r>
  <r>
    <n v="864"/>
    <n v="25"/>
    <x v="1"/>
    <n v="39345"/>
    <n v="12948"/>
    <n v="723"/>
    <x v="1"/>
    <x v="1"/>
    <x v="1"/>
    <x v="714"/>
  </r>
  <r>
    <n v="866"/>
    <n v="31"/>
    <x v="0"/>
    <n v="53595"/>
    <n v="3092"/>
    <n v="528"/>
    <x v="0"/>
    <x v="0"/>
    <x v="1"/>
    <x v="715"/>
  </r>
  <r>
    <n v="868"/>
    <n v="54"/>
    <x v="0"/>
    <n v="78027"/>
    <n v="6242"/>
    <n v="402"/>
    <x v="0"/>
    <x v="0"/>
    <x v="2"/>
    <x v="716"/>
  </r>
  <r>
    <n v="870"/>
    <n v="55"/>
    <x v="0"/>
    <n v="43411"/>
    <n v="6185"/>
    <n v="641"/>
    <x v="0"/>
    <x v="0"/>
    <x v="1"/>
    <x v="717"/>
  </r>
  <r>
    <n v="871"/>
    <n v="55"/>
    <x v="1"/>
    <n v="48361"/>
    <n v="16271"/>
    <n v="520"/>
    <x v="0"/>
    <x v="0"/>
    <x v="1"/>
    <x v="718"/>
  </r>
  <r>
    <n v="872"/>
    <n v="21"/>
    <x v="1"/>
    <n v="36223"/>
    <n v="6776"/>
    <n v="784"/>
    <x v="1"/>
    <x v="2"/>
    <x v="1"/>
    <x v="719"/>
  </r>
  <r>
    <n v="874"/>
    <n v="49"/>
    <x v="1"/>
    <n v="29056"/>
    <n v="8823"/>
    <n v="437"/>
    <x v="0"/>
    <x v="0"/>
    <x v="0"/>
    <x v="720"/>
  </r>
  <r>
    <n v="876"/>
    <n v="31"/>
    <x v="0"/>
    <n v="41035"/>
    <n v="8355"/>
    <n v="812"/>
    <x v="1"/>
    <x v="2"/>
    <x v="1"/>
    <x v="721"/>
  </r>
  <r>
    <n v="880"/>
    <n v="55"/>
    <x v="1"/>
    <n v="70316"/>
    <n v="14324"/>
    <n v="420"/>
    <x v="0"/>
    <x v="0"/>
    <x v="2"/>
    <x v="722"/>
  </r>
  <r>
    <n v="881"/>
    <n v="41"/>
    <x v="1"/>
    <n v="79041"/>
    <n v="11350"/>
    <n v="641"/>
    <x v="0"/>
    <x v="0"/>
    <x v="2"/>
    <x v="723"/>
  </r>
  <r>
    <n v="882"/>
    <n v="57"/>
    <x v="0"/>
    <n v="58404"/>
    <n v="3555"/>
    <n v="508"/>
    <x v="0"/>
    <x v="0"/>
    <x v="1"/>
    <x v="724"/>
  </r>
  <r>
    <n v="885"/>
    <n v="34"/>
    <x v="1"/>
    <n v="45911"/>
    <n v="5727"/>
    <n v="482"/>
    <x v="0"/>
    <x v="0"/>
    <x v="1"/>
    <x v="725"/>
  </r>
  <r>
    <n v="887"/>
    <n v="24"/>
    <x v="1"/>
    <n v="18191"/>
    <n v="4701"/>
    <n v="468"/>
    <x v="0"/>
    <x v="0"/>
    <x v="0"/>
    <x v="726"/>
  </r>
  <r>
    <n v="888"/>
    <n v="45"/>
    <x v="0"/>
    <n v="48160"/>
    <n v="3780"/>
    <n v="528"/>
    <x v="0"/>
    <x v="0"/>
    <x v="1"/>
    <x v="727"/>
  </r>
  <r>
    <n v="889"/>
    <n v="45"/>
    <x v="0"/>
    <n v="40000"/>
    <n v="18972"/>
    <n v="595"/>
    <x v="0"/>
    <x v="0"/>
    <x v="1"/>
    <x v="728"/>
  </r>
  <r>
    <n v="890"/>
    <n v="38"/>
    <x v="1"/>
    <n v="54040"/>
    <n v="3368"/>
    <n v="539"/>
    <x v="0"/>
    <x v="0"/>
    <x v="1"/>
    <x v="729"/>
  </r>
  <r>
    <n v="891"/>
    <n v="28"/>
    <x v="0"/>
    <n v="79641"/>
    <n v="16592"/>
    <n v="843"/>
    <x v="1"/>
    <x v="2"/>
    <x v="2"/>
    <x v="730"/>
  </r>
  <r>
    <n v="892"/>
    <n v="59"/>
    <x v="1"/>
    <n v="64723"/>
    <n v="1436"/>
    <n v="682"/>
    <x v="1"/>
    <x v="1"/>
    <x v="2"/>
    <x v="731"/>
  </r>
  <r>
    <n v="894"/>
    <n v="52"/>
    <x v="1"/>
    <n v="21172"/>
    <n v="2556"/>
    <n v="633"/>
    <x v="0"/>
    <x v="0"/>
    <x v="0"/>
    <x v="732"/>
  </r>
  <r>
    <n v="895"/>
    <n v="58"/>
    <x v="0"/>
    <n v="57080"/>
    <n v="14364"/>
    <n v="422"/>
    <x v="0"/>
    <x v="0"/>
    <x v="1"/>
    <x v="733"/>
  </r>
  <r>
    <n v="896"/>
    <n v="53"/>
    <x v="1"/>
    <n v="38561"/>
    <n v="16061"/>
    <n v="552"/>
    <x v="0"/>
    <x v="0"/>
    <x v="1"/>
    <x v="734"/>
  </r>
  <r>
    <n v="897"/>
    <n v="43"/>
    <x v="1"/>
    <n v="39817"/>
    <n v="11576"/>
    <n v="676"/>
    <x v="0"/>
    <x v="1"/>
    <x v="1"/>
    <x v="735"/>
  </r>
  <r>
    <n v="898"/>
    <n v="35"/>
    <x v="0"/>
    <n v="48500"/>
    <n v="17566"/>
    <n v="460"/>
    <x v="0"/>
    <x v="0"/>
    <x v="1"/>
    <x v="736"/>
  </r>
  <r>
    <n v="900"/>
    <n v="45"/>
    <x v="0"/>
    <n v="72275"/>
    <n v="6565"/>
    <n v="777"/>
    <x v="1"/>
    <x v="2"/>
    <x v="2"/>
    <x v="737"/>
  </r>
  <r>
    <n v="902"/>
    <n v="53"/>
    <x v="1"/>
    <n v="40364"/>
    <n v="2589"/>
    <n v="743"/>
    <x v="1"/>
    <x v="1"/>
    <x v="1"/>
    <x v="738"/>
  </r>
  <r>
    <n v="903"/>
    <n v="22"/>
    <x v="0"/>
    <n v="71603"/>
    <n v="1159"/>
    <n v="552"/>
    <x v="0"/>
    <x v="0"/>
    <x v="2"/>
    <x v="739"/>
  </r>
  <r>
    <n v="906"/>
    <n v="26"/>
    <x v="0"/>
    <n v="42425"/>
    <n v="7555"/>
    <n v="701"/>
    <x v="1"/>
    <x v="1"/>
    <x v="1"/>
    <x v="740"/>
  </r>
  <r>
    <n v="907"/>
    <n v="26"/>
    <x v="0"/>
    <n v="64927"/>
    <n v="17237"/>
    <n v="431"/>
    <x v="0"/>
    <x v="0"/>
    <x v="2"/>
    <x v="741"/>
  </r>
  <r>
    <n v="908"/>
    <n v="23"/>
    <x v="1"/>
    <n v="43602"/>
    <n v="10203"/>
    <n v="454"/>
    <x v="0"/>
    <x v="0"/>
    <x v="1"/>
    <x v="742"/>
  </r>
  <r>
    <n v="909"/>
    <n v="27"/>
    <x v="0"/>
    <n v="48500"/>
    <n v="9244"/>
    <n v="751"/>
    <x v="1"/>
    <x v="2"/>
    <x v="1"/>
    <x v="743"/>
  </r>
  <r>
    <n v="910"/>
    <n v="28"/>
    <x v="0"/>
    <n v="66399"/>
    <n v="15743"/>
    <n v="788"/>
    <x v="1"/>
    <x v="2"/>
    <x v="2"/>
    <x v="744"/>
  </r>
  <r>
    <n v="911"/>
    <n v="35"/>
    <x v="0"/>
    <n v="38472"/>
    <n v="14333"/>
    <n v="435"/>
    <x v="0"/>
    <x v="0"/>
    <x v="1"/>
    <x v="745"/>
  </r>
  <r>
    <n v="912"/>
    <n v="49"/>
    <x v="0"/>
    <n v="64230"/>
    <n v="14341"/>
    <n v="509"/>
    <x v="0"/>
    <x v="0"/>
    <x v="2"/>
    <x v="746"/>
  </r>
  <r>
    <n v="915"/>
    <n v="59"/>
    <x v="0"/>
    <n v="68078"/>
    <n v="6590"/>
    <n v="713"/>
    <x v="1"/>
    <x v="1"/>
    <x v="2"/>
    <x v="747"/>
  </r>
  <r>
    <n v="917"/>
    <n v="56"/>
    <x v="1"/>
    <n v="71492"/>
    <n v="10227"/>
    <n v="735"/>
    <x v="1"/>
    <x v="1"/>
    <x v="2"/>
    <x v="748"/>
  </r>
  <r>
    <n v="918"/>
    <n v="49"/>
    <x v="1"/>
    <n v="46186"/>
    <n v="7046"/>
    <n v="496"/>
    <x v="0"/>
    <x v="0"/>
    <x v="1"/>
    <x v="749"/>
  </r>
  <r>
    <n v="919"/>
    <n v="58"/>
    <x v="1"/>
    <n v="62684"/>
    <n v="13237"/>
    <n v="768"/>
    <x v="1"/>
    <x v="2"/>
    <x v="2"/>
    <x v="750"/>
  </r>
  <r>
    <n v="920"/>
    <n v="53"/>
    <x v="0"/>
    <n v="45111"/>
    <n v="16649"/>
    <n v="612"/>
    <x v="0"/>
    <x v="0"/>
    <x v="1"/>
    <x v="751"/>
  </r>
  <r>
    <n v="921"/>
    <n v="57"/>
    <x v="1"/>
    <n v="54851"/>
    <n v="5945"/>
    <n v="716"/>
    <x v="1"/>
    <x v="1"/>
    <x v="1"/>
    <x v="752"/>
  </r>
  <r>
    <n v="922"/>
    <n v="47"/>
    <x v="1"/>
    <n v="78936"/>
    <n v="8927"/>
    <n v="536"/>
    <x v="0"/>
    <x v="0"/>
    <x v="2"/>
    <x v="753"/>
  </r>
  <r>
    <n v="923"/>
    <n v="53"/>
    <x v="0"/>
    <n v="37614"/>
    <n v="13641"/>
    <n v="405"/>
    <x v="0"/>
    <x v="0"/>
    <x v="1"/>
    <x v="754"/>
  </r>
  <r>
    <n v="924"/>
    <n v="24"/>
    <x v="0"/>
    <n v="41724"/>
    <n v="16998"/>
    <n v="508"/>
    <x v="0"/>
    <x v="0"/>
    <x v="1"/>
    <x v="755"/>
  </r>
  <r>
    <n v="925"/>
    <n v="42"/>
    <x v="0"/>
    <n v="56991"/>
    <n v="14386"/>
    <n v="434"/>
    <x v="0"/>
    <x v="0"/>
    <x v="1"/>
    <x v="756"/>
  </r>
  <r>
    <n v="926"/>
    <n v="22"/>
    <x v="1"/>
    <n v="19940"/>
    <n v="8016"/>
    <n v="438"/>
    <x v="0"/>
    <x v="0"/>
    <x v="0"/>
    <x v="757"/>
  </r>
  <r>
    <n v="927"/>
    <n v="30"/>
    <x v="0"/>
    <n v="67423"/>
    <n v="15027"/>
    <n v="549"/>
    <x v="0"/>
    <x v="0"/>
    <x v="2"/>
    <x v="758"/>
  </r>
  <r>
    <n v="929"/>
    <n v="30"/>
    <x v="1"/>
    <n v="43758"/>
    <n v="14752"/>
    <n v="517"/>
    <x v="0"/>
    <x v="0"/>
    <x v="1"/>
    <x v="759"/>
  </r>
  <r>
    <n v="930"/>
    <n v="53"/>
    <x v="0"/>
    <n v="48500"/>
    <n v="19268"/>
    <n v="660"/>
    <x v="0"/>
    <x v="1"/>
    <x v="1"/>
    <x v="760"/>
  </r>
  <r>
    <n v="931"/>
    <n v="58"/>
    <x v="0"/>
    <n v="51224"/>
    <n v="19193"/>
    <n v="825"/>
    <x v="1"/>
    <x v="2"/>
    <x v="1"/>
    <x v="761"/>
  </r>
  <r>
    <n v="932"/>
    <n v="33"/>
    <x v="0"/>
    <n v="22788"/>
    <n v="4167"/>
    <n v="486"/>
    <x v="0"/>
    <x v="0"/>
    <x v="0"/>
    <x v="762"/>
  </r>
  <r>
    <n v="933"/>
    <n v="51"/>
    <x v="0"/>
    <n v="43082"/>
    <n v="12989"/>
    <n v="475"/>
    <x v="0"/>
    <x v="0"/>
    <x v="1"/>
    <x v="763"/>
  </r>
  <r>
    <n v="935"/>
    <n v="44"/>
    <x v="0"/>
    <n v="39034"/>
    <n v="3437"/>
    <n v="712"/>
    <x v="1"/>
    <x v="1"/>
    <x v="1"/>
    <x v="764"/>
  </r>
  <r>
    <n v="936"/>
    <n v="35"/>
    <x v="0"/>
    <n v="50479"/>
    <n v="16275"/>
    <n v="782"/>
    <x v="1"/>
    <x v="2"/>
    <x v="1"/>
    <x v="765"/>
  </r>
  <r>
    <n v="938"/>
    <n v="28"/>
    <x v="0"/>
    <n v="33052"/>
    <n v="9859"/>
    <n v="684"/>
    <x v="1"/>
    <x v="1"/>
    <x v="1"/>
    <x v="766"/>
  </r>
  <r>
    <n v="939"/>
    <n v="25"/>
    <x v="1"/>
    <n v="48500"/>
    <n v="8818"/>
    <n v="638"/>
    <x v="0"/>
    <x v="0"/>
    <x v="1"/>
    <x v="767"/>
  </r>
  <r>
    <n v="941"/>
    <n v="24"/>
    <x v="1"/>
    <n v="43903"/>
    <n v="6738"/>
    <n v="486"/>
    <x v="0"/>
    <x v="0"/>
    <x v="1"/>
    <x v="768"/>
  </r>
  <r>
    <n v="942"/>
    <n v="32"/>
    <x v="1"/>
    <n v="59857"/>
    <n v="6793"/>
    <n v="540"/>
    <x v="0"/>
    <x v="0"/>
    <x v="1"/>
    <x v="769"/>
  </r>
  <r>
    <n v="943"/>
    <n v="22"/>
    <x v="1"/>
    <n v="25142"/>
    <n v="5523"/>
    <n v="559"/>
    <x v="0"/>
    <x v="0"/>
    <x v="0"/>
    <x v="770"/>
  </r>
  <r>
    <n v="944"/>
    <n v="47"/>
    <x v="1"/>
    <n v="64517"/>
    <n v="6571"/>
    <n v="445"/>
    <x v="0"/>
    <x v="0"/>
    <x v="2"/>
    <x v="771"/>
  </r>
  <r>
    <n v="945"/>
    <n v="51"/>
    <x v="0"/>
    <n v="63355"/>
    <n v="17209"/>
    <n v="771"/>
    <x v="1"/>
    <x v="2"/>
    <x v="2"/>
    <x v="772"/>
  </r>
  <r>
    <n v="946"/>
    <n v="56"/>
    <x v="1"/>
    <n v="24866"/>
    <n v="16246"/>
    <n v="511"/>
    <x v="0"/>
    <x v="0"/>
    <x v="0"/>
    <x v="773"/>
  </r>
  <r>
    <n v="947"/>
    <n v="56"/>
    <x v="0"/>
    <n v="19531"/>
    <n v="11380"/>
    <n v="806"/>
    <x v="0"/>
    <x v="2"/>
    <x v="0"/>
    <x v="774"/>
  </r>
  <r>
    <n v="948"/>
    <n v="46"/>
    <x v="1"/>
    <n v="60454"/>
    <n v="3224"/>
    <n v="444"/>
    <x v="0"/>
    <x v="0"/>
    <x v="2"/>
    <x v="775"/>
  </r>
  <r>
    <n v="949"/>
    <n v="47"/>
    <x v="1"/>
    <n v="53098"/>
    <n v="9389"/>
    <n v="800"/>
    <x v="1"/>
    <x v="2"/>
    <x v="1"/>
    <x v="776"/>
  </r>
  <r>
    <n v="950"/>
    <n v="25"/>
    <x v="1"/>
    <n v="53278"/>
    <n v="16927"/>
    <n v="646"/>
    <x v="0"/>
    <x v="0"/>
    <x v="1"/>
    <x v="777"/>
  </r>
  <r>
    <n v="952"/>
    <n v="31"/>
    <x v="1"/>
    <n v="79027"/>
    <n v="11640"/>
    <n v="484"/>
    <x v="0"/>
    <x v="0"/>
    <x v="2"/>
    <x v="778"/>
  </r>
  <r>
    <n v="953"/>
    <n v="30"/>
    <x v="0"/>
    <n v="72906"/>
    <n v="9662"/>
    <n v="849"/>
    <x v="1"/>
    <x v="2"/>
    <x v="2"/>
    <x v="779"/>
  </r>
  <r>
    <n v="956"/>
    <n v="28"/>
    <x v="0"/>
    <n v="44956"/>
    <n v="13091"/>
    <n v="417"/>
    <x v="0"/>
    <x v="0"/>
    <x v="1"/>
    <x v="780"/>
  </r>
  <r>
    <n v="957"/>
    <n v="43"/>
    <x v="0"/>
    <n v="56732"/>
    <n v="12992"/>
    <n v="493"/>
    <x v="0"/>
    <x v="0"/>
    <x v="1"/>
    <x v="781"/>
  </r>
  <r>
    <n v="958"/>
    <n v="46"/>
    <x v="0"/>
    <n v="54261"/>
    <n v="7318"/>
    <n v="549"/>
    <x v="0"/>
    <x v="0"/>
    <x v="1"/>
    <x v="782"/>
  </r>
  <r>
    <n v="959"/>
    <n v="32"/>
    <x v="0"/>
    <n v="74381"/>
    <n v="13180"/>
    <n v="645"/>
    <x v="0"/>
    <x v="0"/>
    <x v="2"/>
    <x v="783"/>
  </r>
  <r>
    <n v="960"/>
    <n v="46"/>
    <x v="0"/>
    <n v="48500"/>
    <n v="1234"/>
    <n v="688"/>
    <x v="1"/>
    <x v="1"/>
    <x v="1"/>
    <x v="784"/>
  </r>
  <r>
    <n v="962"/>
    <n v="38"/>
    <x v="1"/>
    <n v="20439"/>
    <n v="1522"/>
    <n v="608"/>
    <x v="0"/>
    <x v="0"/>
    <x v="0"/>
    <x v="785"/>
  </r>
  <r>
    <n v="965"/>
    <n v="32"/>
    <x v="1"/>
    <n v="43270"/>
    <n v="6832"/>
    <n v="815"/>
    <x v="1"/>
    <x v="2"/>
    <x v="1"/>
    <x v="786"/>
  </r>
  <r>
    <n v="966"/>
    <n v="56"/>
    <x v="1"/>
    <n v="28279"/>
    <n v="13820"/>
    <n v="825"/>
    <x v="0"/>
    <x v="2"/>
    <x v="0"/>
    <x v="787"/>
  </r>
  <r>
    <n v="967"/>
    <n v="24"/>
    <x v="0"/>
    <n v="54279"/>
    <n v="17211"/>
    <n v="521"/>
    <x v="0"/>
    <x v="0"/>
    <x v="1"/>
    <x v="788"/>
  </r>
  <r>
    <n v="970"/>
    <n v="28"/>
    <x v="0"/>
    <n v="32630"/>
    <n v="2316"/>
    <n v="819"/>
    <x v="1"/>
    <x v="2"/>
    <x v="1"/>
    <x v="789"/>
  </r>
  <r>
    <n v="971"/>
    <n v="48"/>
    <x v="0"/>
    <n v="76063"/>
    <n v="14200"/>
    <n v="561"/>
    <x v="0"/>
    <x v="0"/>
    <x v="2"/>
    <x v="790"/>
  </r>
  <r>
    <n v="974"/>
    <n v="49"/>
    <x v="1"/>
    <n v="77360"/>
    <n v="19971"/>
    <n v="427"/>
    <x v="0"/>
    <x v="0"/>
    <x v="2"/>
    <x v="791"/>
  </r>
  <r>
    <n v="975"/>
    <n v="34"/>
    <x v="1"/>
    <n v="48500"/>
    <n v="2378"/>
    <n v="410"/>
    <x v="0"/>
    <x v="0"/>
    <x v="1"/>
    <x v="792"/>
  </r>
  <r>
    <n v="976"/>
    <n v="42"/>
    <x v="1"/>
    <n v="67161"/>
    <n v="2519"/>
    <n v="605"/>
    <x v="0"/>
    <x v="0"/>
    <x v="2"/>
    <x v="793"/>
  </r>
  <r>
    <n v="977"/>
    <n v="31"/>
    <x v="1"/>
    <n v="48500"/>
    <n v="8935"/>
    <n v="566"/>
    <x v="0"/>
    <x v="0"/>
    <x v="1"/>
    <x v="794"/>
  </r>
  <r>
    <n v="978"/>
    <n v="43"/>
    <x v="0"/>
    <n v="75337"/>
    <n v="7093"/>
    <n v="646"/>
    <x v="0"/>
    <x v="0"/>
    <x v="2"/>
    <x v="795"/>
  </r>
  <r>
    <n v="979"/>
    <n v="21"/>
    <x v="0"/>
    <n v="40538"/>
    <n v="6355"/>
    <n v="446"/>
    <x v="0"/>
    <x v="0"/>
    <x v="1"/>
    <x v="796"/>
  </r>
  <r>
    <n v="980"/>
    <n v="57"/>
    <x v="0"/>
    <n v="26824"/>
    <n v="10083"/>
    <n v="645"/>
    <x v="0"/>
    <x v="0"/>
    <x v="0"/>
    <x v="797"/>
  </r>
  <r>
    <n v="981"/>
    <n v="41"/>
    <x v="1"/>
    <n v="65979"/>
    <n v="6574"/>
    <n v="526"/>
    <x v="0"/>
    <x v="0"/>
    <x v="2"/>
    <x v="798"/>
  </r>
  <r>
    <n v="982"/>
    <n v="46"/>
    <x v="0"/>
    <n v="47125"/>
    <n v="14324"/>
    <n v="546"/>
    <x v="0"/>
    <x v="0"/>
    <x v="1"/>
    <x v="799"/>
  </r>
  <r>
    <n v="983"/>
    <n v="56"/>
    <x v="0"/>
    <n v="21979"/>
    <n v="3257"/>
    <n v="517"/>
    <x v="0"/>
    <x v="0"/>
    <x v="0"/>
    <x v="800"/>
  </r>
  <r>
    <n v="984"/>
    <n v="43"/>
    <x v="0"/>
    <n v="41189"/>
    <n v="14411"/>
    <n v="798"/>
    <x v="1"/>
    <x v="2"/>
    <x v="1"/>
    <x v="801"/>
  </r>
  <r>
    <n v="985"/>
    <n v="21"/>
    <x v="1"/>
    <n v="57600"/>
    <n v="16233"/>
    <n v="781"/>
    <x v="1"/>
    <x v="2"/>
    <x v="1"/>
    <x v="802"/>
  </r>
  <r>
    <n v="988"/>
    <n v="29"/>
    <x v="1"/>
    <n v="48500"/>
    <n v="19400"/>
    <n v="471"/>
    <x v="0"/>
    <x v="0"/>
    <x v="1"/>
    <x v="803"/>
  </r>
  <r>
    <n v="989"/>
    <n v="29"/>
    <x v="1"/>
    <n v="76558"/>
    <n v="11860"/>
    <n v="762"/>
    <x v="1"/>
    <x v="2"/>
    <x v="2"/>
    <x v="804"/>
  </r>
  <r>
    <n v="990"/>
    <n v="30"/>
    <x v="1"/>
    <n v="35669"/>
    <n v="11070"/>
    <n v="536"/>
    <x v="0"/>
    <x v="0"/>
    <x v="1"/>
    <x v="805"/>
  </r>
  <r>
    <n v="992"/>
    <n v="55"/>
    <x v="1"/>
    <n v="72713"/>
    <n v="19156"/>
    <n v="688"/>
    <x v="1"/>
    <x v="1"/>
    <x v="2"/>
    <x v="806"/>
  </r>
  <r>
    <n v="993"/>
    <n v="45"/>
    <x v="1"/>
    <n v="61857"/>
    <n v="19135"/>
    <n v="845"/>
    <x v="1"/>
    <x v="2"/>
    <x v="2"/>
    <x v="807"/>
  </r>
  <r>
    <n v="994"/>
    <n v="46"/>
    <x v="0"/>
    <n v="49964"/>
    <n v="15609"/>
    <n v="418"/>
    <x v="0"/>
    <x v="0"/>
    <x v="1"/>
    <x v="808"/>
  </r>
  <r>
    <n v="996"/>
    <n v="58"/>
    <x v="1"/>
    <n v="40227"/>
    <n v="17923"/>
    <n v="729"/>
    <x v="0"/>
    <x v="1"/>
    <x v="1"/>
    <x v="809"/>
  </r>
  <r>
    <n v="997"/>
    <n v="22"/>
    <x v="0"/>
    <n v="20978"/>
    <n v="15823"/>
    <n v="823"/>
    <x v="0"/>
    <x v="2"/>
    <x v="0"/>
    <x v="810"/>
  </r>
  <r>
    <n v="998"/>
    <n v="27"/>
    <x v="1"/>
    <n v="36991"/>
    <n v="18845"/>
    <n v="574"/>
    <x v="0"/>
    <x v="0"/>
    <x v="1"/>
    <x v="811"/>
  </r>
  <r>
    <n v="999"/>
    <n v="38"/>
    <x v="1"/>
    <n v="32153"/>
    <n v="9547"/>
    <n v="848"/>
    <x v="1"/>
    <x v="2"/>
    <x v="1"/>
    <x v="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3B7514-1A2E-4E62-ADC1-196DD5C81A75}"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D16" firstHeaderRow="1" firstDataRow="2" firstDataCol="1"/>
  <pivotFields count="10">
    <pivotField showAll="0"/>
    <pivotField showAll="0"/>
    <pivotField showAll="0">
      <items count="3">
        <item x="0"/>
        <item x="1"/>
        <item t="default"/>
      </items>
    </pivotField>
    <pivotField showAll="0"/>
    <pivotField showAll="0"/>
    <pivotField showAll="0"/>
    <pivotField axis="axisCol" dataField="1" showAll="0">
      <items count="3">
        <item x="1"/>
        <item x="0"/>
        <item t="default"/>
      </items>
    </pivotField>
    <pivotField showAll="0"/>
    <pivotField axis="axisRow" showAll="0">
      <items count="4">
        <item x="2"/>
        <item x="0"/>
        <item x="1"/>
        <item t="default"/>
      </items>
    </pivotField>
    <pivotField numFmtId="10" showAll="0"/>
  </pivotFields>
  <rowFields count="1">
    <field x="8"/>
  </rowFields>
  <rowItems count="4">
    <i>
      <x/>
    </i>
    <i>
      <x v="1"/>
    </i>
    <i>
      <x v="2"/>
    </i>
    <i t="grand">
      <x/>
    </i>
  </rowItems>
  <colFields count="1">
    <field x="6"/>
  </colFields>
  <colItems count="3">
    <i>
      <x/>
    </i>
    <i>
      <x v="1"/>
    </i>
    <i t="grand">
      <x/>
    </i>
  </colItems>
  <dataFields count="1">
    <dataField name="Count of Loan_Status" fld="6" subtotal="count" showDataAs="percentOfRow" baseField="8" baseItem="0" numFmtId="10"/>
  </dataFields>
  <chartFormats count="2">
    <chartFormat chart="2" format="2" series="1">
      <pivotArea type="data" outline="0" fieldPosition="0">
        <references count="2">
          <reference field="4294967294" count="1" selected="0">
            <x v="0"/>
          </reference>
          <reference field="6" count="1" selected="0">
            <x v="0"/>
          </reference>
        </references>
      </pivotArea>
    </chartFormat>
    <chartFormat chart="2"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6BD43-B75B-4FEF-9639-F0A930A74BCA}"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5" firstHeaderRow="1" firstDataRow="1" firstDataCol="1"/>
  <pivotFields count="10">
    <pivotField showAll="0"/>
    <pivotField showAll="0"/>
    <pivotField showAll="0">
      <items count="3">
        <item x="0"/>
        <item h="1" x="1"/>
        <item t="default"/>
      </items>
    </pivotField>
    <pivotField showAll="0"/>
    <pivotField showAll="0"/>
    <pivotField showAll="0"/>
    <pivotField showAll="0"/>
    <pivotField axis="axisRow" dataField="1" showAll="0">
      <items count="4">
        <item h="1" x="0"/>
        <item x="2"/>
        <item h="1" x="1"/>
        <item t="default"/>
      </items>
    </pivotField>
    <pivotField showAll="0"/>
    <pivotField numFmtId="10" showAll="0">
      <items count="814">
        <item x="333"/>
        <item x="739"/>
        <item x="358"/>
        <item x="623"/>
        <item x="261"/>
        <item x="394"/>
        <item x="309"/>
        <item x="225"/>
        <item x="271"/>
        <item x="731"/>
        <item x="433"/>
        <item x="784"/>
        <item x="698"/>
        <item x="405"/>
        <item x="713"/>
        <item x="438"/>
        <item x="575"/>
        <item x="88"/>
        <item x="680"/>
        <item x="17"/>
        <item x="666"/>
        <item x="712"/>
        <item x="277"/>
        <item x="419"/>
        <item x="211"/>
        <item x="318"/>
        <item x="503"/>
        <item x="647"/>
        <item x="479"/>
        <item x="202"/>
        <item x="420"/>
        <item x="793"/>
        <item x="386"/>
        <item x="340"/>
        <item x="471"/>
        <item x="300"/>
        <item x="495"/>
        <item x="193"/>
        <item x="544"/>
        <item x="122"/>
        <item x="289"/>
        <item x="624"/>
        <item x="61"/>
        <item x="609"/>
        <item x="243"/>
        <item x="526"/>
        <item x="488"/>
        <item x="118"/>
        <item x="567"/>
        <item x="439"/>
        <item x="82"/>
        <item x="13"/>
        <item x="334"/>
        <item x="282"/>
        <item x="198"/>
        <item x="601"/>
        <item x="525"/>
        <item x="792"/>
        <item x="162"/>
        <item x="86"/>
        <item x="56"/>
        <item x="296"/>
        <item x="128"/>
        <item x="775"/>
        <item x="554"/>
        <item x="174"/>
        <item x="36"/>
        <item x="637"/>
        <item x="540"/>
        <item x="489"/>
        <item x="681"/>
        <item x="496"/>
        <item x="146"/>
        <item x="715"/>
        <item x="604"/>
        <item x="46"/>
        <item x="539"/>
        <item x="92"/>
        <item x="697"/>
        <item x="685"/>
        <item x="585"/>
        <item x="724"/>
        <item x="729"/>
        <item x="683"/>
        <item x="500"/>
        <item x="347"/>
        <item x="75"/>
        <item x="359"/>
        <item x="738"/>
        <item x="512"/>
        <item x="55"/>
        <item x="677"/>
        <item x="57"/>
        <item x="23"/>
        <item x="70"/>
        <item x="93"/>
        <item x="646"/>
        <item x="247"/>
        <item x="789"/>
        <item x="370"/>
        <item x="663"/>
        <item x="542"/>
        <item x="586"/>
        <item x="209"/>
        <item x="487"/>
        <item x="274"/>
        <item x="413"/>
        <item x="54"/>
        <item x="516"/>
        <item x="257"/>
        <item x="626"/>
        <item x="342"/>
        <item x="108"/>
        <item x="785"/>
        <item x="233"/>
        <item x="126"/>
        <item x="166"/>
        <item x="460"/>
        <item x="610"/>
        <item x="406"/>
        <item x="472"/>
        <item x="71"/>
        <item x="199"/>
        <item x="727"/>
        <item x="159"/>
        <item x="151"/>
        <item x="445"/>
        <item x="716"/>
        <item x="22"/>
        <item x="543"/>
        <item x="295"/>
        <item x="119"/>
        <item x="536"/>
        <item x="619"/>
        <item x="229"/>
        <item x="224"/>
        <item x="466"/>
        <item x="169"/>
        <item x="476"/>
        <item x="353"/>
        <item x="605"/>
        <item x="640"/>
        <item x="279"/>
        <item x="764"/>
        <item x="240"/>
        <item x="312"/>
        <item x="0"/>
        <item x="557"/>
        <item x="375"/>
        <item x="357"/>
        <item x="737"/>
        <item x="654"/>
        <item x="453"/>
        <item x="541"/>
        <item x="336"/>
        <item x="509"/>
        <item x="311"/>
        <item x="32"/>
        <item x="795"/>
        <item x="58"/>
        <item x="136"/>
        <item x="329"/>
        <item x="220"/>
        <item x="524"/>
        <item x="747"/>
        <item x="152"/>
        <item x="245"/>
        <item x="523"/>
        <item x="140"/>
        <item x="195"/>
        <item x="798"/>
        <item x="494"/>
        <item x="255"/>
        <item x="275"/>
        <item x="771"/>
        <item x="80"/>
        <item x="188"/>
        <item x="549"/>
        <item x="603"/>
        <item x="9"/>
        <item x="596"/>
        <item x="644"/>
        <item x="752"/>
        <item x="10"/>
        <item x="37"/>
        <item x="273"/>
        <item x="356"/>
        <item x="753"/>
        <item x="2"/>
        <item x="643"/>
        <item x="769"/>
        <item x="323"/>
        <item x="535"/>
        <item x="565"/>
        <item x="288"/>
        <item x="561"/>
        <item x="491"/>
        <item x="181"/>
        <item x="470"/>
        <item x="50"/>
        <item x="528"/>
        <item x="531"/>
        <item x="337"/>
        <item x="672"/>
        <item x="366"/>
        <item x="115"/>
        <item x="732"/>
        <item x="141"/>
        <item x="703"/>
        <item x="201"/>
        <item x="670"/>
        <item x="213"/>
        <item x="315"/>
        <item x="725"/>
        <item x="580"/>
        <item x="455"/>
        <item x="268"/>
        <item x="402"/>
        <item x="390"/>
        <item x="467"/>
        <item x="587"/>
        <item x="212"/>
        <item x="401"/>
        <item x="498"/>
        <item x="180"/>
        <item x="266"/>
        <item x="24"/>
        <item x="779"/>
        <item x="317"/>
        <item x="352"/>
        <item x="372"/>
        <item x="499"/>
        <item x="179"/>
        <item x="263"/>
        <item x="782"/>
        <item x="481"/>
        <item x="84"/>
        <item x="281"/>
        <item x="633"/>
        <item x="600"/>
        <item x="77"/>
        <item x="361"/>
        <item x="170"/>
        <item x="290"/>
        <item x="435"/>
        <item x="668"/>
        <item x="107"/>
        <item x="286"/>
        <item x="421"/>
        <item x="368"/>
        <item x="154"/>
        <item x="446"/>
        <item x="4"/>
        <item x="717"/>
        <item x="584"/>
        <item x="748"/>
        <item x="235"/>
        <item x="507"/>
        <item x="723"/>
        <item x="514"/>
        <item x="104"/>
        <item x="448"/>
        <item x="89"/>
        <item x="204"/>
        <item x="630"/>
        <item x="332"/>
        <item x="778"/>
        <item x="230"/>
        <item x="800"/>
        <item x="485"/>
        <item x="388"/>
        <item x="158"/>
        <item x="562"/>
        <item x="749"/>
        <item x="548"/>
        <item x="700"/>
        <item x="400"/>
        <item x="768"/>
        <item x="66"/>
        <item x="191"/>
        <item x="804"/>
        <item x="344"/>
        <item x="436"/>
        <item x="796"/>
        <item x="35"/>
        <item x="123"/>
        <item x="97"/>
        <item x="661"/>
        <item x="786"/>
        <item x="47"/>
        <item x="612"/>
        <item x="76"/>
        <item x="632"/>
        <item x="559"/>
        <item x="692"/>
        <item x="53"/>
        <item x="564"/>
        <item x="321"/>
        <item x="43"/>
        <item x="662"/>
        <item x="236"/>
        <item x="581"/>
        <item x="348"/>
        <item x="706"/>
        <item x="339"/>
        <item x="335"/>
        <item x="404"/>
        <item x="482"/>
        <item x="417"/>
        <item x="364"/>
        <item x="217"/>
        <item x="414"/>
        <item x="699"/>
        <item x="620"/>
        <item x="48"/>
        <item x="26"/>
        <item x="533"/>
        <item x="160"/>
        <item x="34"/>
        <item x="83"/>
        <item x="665"/>
        <item x="285"/>
        <item x="422"/>
        <item x="44"/>
        <item x="776"/>
        <item x="515"/>
        <item x="338"/>
        <item x="783"/>
        <item x="395"/>
        <item x="740"/>
        <item x="650"/>
        <item x="102"/>
        <item x="653"/>
        <item x="701"/>
        <item x="547"/>
        <item x="210"/>
        <item x="582"/>
        <item x="767"/>
        <item x="762"/>
        <item x="444"/>
        <item x="306"/>
        <item x="696"/>
        <item x="519"/>
        <item x="794"/>
        <item x="599"/>
        <item x="638"/>
        <item x="790"/>
        <item x="719"/>
        <item x="280"/>
        <item x="238"/>
        <item x="178"/>
        <item x="675"/>
        <item x="502"/>
        <item x="256"/>
        <item x="743"/>
        <item x="219"/>
        <item x="588"/>
        <item x="65"/>
        <item x="252"/>
        <item x="194"/>
        <item x="707"/>
        <item x="103"/>
        <item x="362"/>
        <item x="330"/>
        <item x="532"/>
        <item x="447"/>
        <item x="327"/>
        <item x="197"/>
        <item x="110"/>
        <item x="468"/>
        <item x="320"/>
        <item x="124"/>
        <item x="269"/>
        <item x="452"/>
        <item x="184"/>
        <item x="721"/>
        <item x="722"/>
        <item x="410"/>
        <item x="343"/>
        <item x="96"/>
        <item x="660"/>
        <item x="730"/>
        <item x="428"/>
        <item x="59"/>
        <item x="657"/>
        <item x="189"/>
        <item x="39"/>
        <item x="750"/>
        <item x="292"/>
        <item x="144"/>
        <item x="379"/>
        <item x="326"/>
        <item x="377"/>
        <item x="207"/>
        <item x="473"/>
        <item x="478"/>
        <item x="555"/>
        <item x="655"/>
        <item x="5"/>
        <item x="215"/>
        <item x="167"/>
        <item x="186"/>
        <item x="376"/>
        <item x="617"/>
        <item x="72"/>
        <item x="553"/>
        <item x="645"/>
        <item x="770"/>
        <item x="517"/>
        <item x="331"/>
        <item x="157"/>
        <item x="484"/>
        <item x="758"/>
        <item x="746"/>
        <item x="589"/>
        <item x="497"/>
        <item x="627"/>
        <item x="652"/>
        <item x="90"/>
        <item x="200"/>
        <item x="69"/>
        <item x="449"/>
        <item x="28"/>
        <item x="781"/>
        <item x="249"/>
        <item x="578"/>
        <item x="33"/>
        <item x="391"/>
        <item x="137"/>
        <item x="667"/>
        <item x="78"/>
        <item x="131"/>
        <item x="708"/>
        <item x="742"/>
        <item x="590"/>
        <item x="328"/>
        <item x="316"/>
        <item x="744"/>
        <item x="38"/>
        <item x="691"/>
        <item x="294"/>
        <item x="99"/>
        <item x="206"/>
        <item x="602"/>
        <item x="613"/>
        <item x="20"/>
        <item x="21"/>
        <item x="313"/>
        <item x="374"/>
        <item x="440"/>
        <item x="651"/>
        <item x="73"/>
        <item x="659"/>
        <item x="205"/>
        <item x="432"/>
        <item x="429"/>
        <item x="98"/>
        <item x="121"/>
        <item x="573"/>
        <item x="437"/>
        <item x="656"/>
        <item x="116"/>
        <item x="307"/>
        <item x="577"/>
        <item x="733"/>
        <item x="606"/>
        <item x="756"/>
        <item x="518"/>
        <item x="693"/>
        <item x="469"/>
        <item x="254"/>
        <item x="506"/>
        <item x="384"/>
        <item x="791"/>
        <item x="726"/>
        <item x="165"/>
        <item x="227"/>
        <item x="492"/>
        <item x="695"/>
        <item x="120"/>
        <item x="1"/>
        <item x="459"/>
        <item x="529"/>
        <item x="378"/>
        <item x="415"/>
        <item x="806"/>
        <item x="30"/>
        <item x="31"/>
        <item x="25"/>
        <item x="614"/>
        <item x="741"/>
        <item x="385"/>
        <item x="345"/>
        <item x="133"/>
        <item x="641"/>
        <item x="490"/>
        <item x="664"/>
        <item x="513"/>
        <item x="508"/>
        <item x="302"/>
        <item x="639"/>
        <item x="303"/>
        <item x="477"/>
        <item x="772"/>
        <item x="264"/>
        <item x="272"/>
        <item x="231"/>
        <item x="12"/>
        <item x="283"/>
        <item x="463"/>
        <item x="250"/>
        <item x="381"/>
        <item x="598"/>
        <item x="325"/>
        <item x="465"/>
        <item x="101"/>
        <item x="458"/>
        <item x="216"/>
        <item x="802"/>
        <item x="16"/>
        <item x="608"/>
        <item x="594"/>
        <item x="426"/>
        <item x="51"/>
        <item x="457"/>
        <item x="634"/>
        <item x="636"/>
        <item x="60"/>
        <item x="735"/>
        <item x="392"/>
        <item x="780"/>
        <item x="537"/>
        <item x="94"/>
        <item x="155"/>
        <item x="387"/>
        <item x="812"/>
        <item x="556"/>
        <item x="109"/>
        <item x="350"/>
        <item x="112"/>
        <item x="766"/>
        <item x="276"/>
        <item x="138"/>
        <item x="134"/>
        <item x="763"/>
        <item x="304"/>
        <item x="298"/>
        <item x="720"/>
        <item x="799"/>
        <item x="117"/>
        <item x="87"/>
        <item x="530"/>
        <item x="52"/>
        <item x="163"/>
        <item x="807"/>
        <item x="341"/>
        <item x="805"/>
        <item x="183"/>
        <item x="694"/>
        <item x="808"/>
        <item x="572"/>
        <item x="196"/>
        <item x="474"/>
        <item x="139"/>
        <item x="674"/>
        <item x="511"/>
        <item x="592"/>
        <item x="702"/>
        <item x="284"/>
        <item x="190"/>
        <item x="11"/>
        <item x="788"/>
        <item x="635"/>
        <item x="208"/>
        <item x="777"/>
        <item x="143"/>
        <item x="262"/>
        <item x="310"/>
        <item x="688"/>
        <item x="765"/>
        <item x="558"/>
        <item x="360"/>
        <item x="67"/>
        <item x="148"/>
        <item x="423"/>
        <item x="6"/>
        <item x="176"/>
        <item x="607"/>
        <item x="714"/>
        <item x="569"/>
        <item x="411"/>
        <item x="673"/>
        <item x="718"/>
        <item x="759"/>
        <item x="628"/>
        <item x="299"/>
        <item x="684"/>
        <item x="622"/>
        <item x="29"/>
        <item x="168"/>
        <item x="239"/>
        <item x="397"/>
        <item x="801"/>
        <item x="671"/>
        <item x="682"/>
        <item x="114"/>
        <item x="100"/>
        <item x="81"/>
        <item x="621"/>
        <item x="687"/>
        <item x="629"/>
        <item x="305"/>
        <item x="248"/>
        <item x="389"/>
        <item x="324"/>
        <item x="669"/>
        <item x="18"/>
        <item x="736"/>
        <item x="510"/>
        <item x="754"/>
        <item x="591"/>
        <item x="576"/>
        <item x="434"/>
        <item x="267"/>
        <item x="223"/>
        <item x="145"/>
        <item x="751"/>
        <item x="441"/>
        <item x="150"/>
        <item x="451"/>
        <item x="745"/>
        <item x="214"/>
        <item x="442"/>
        <item x="319"/>
        <item x="761"/>
        <item x="797"/>
        <item x="464"/>
        <item x="175"/>
        <item x="521"/>
        <item x="246"/>
        <item x="566"/>
        <item x="546"/>
        <item x="365"/>
        <item x="583"/>
        <item x="79"/>
        <item x="625"/>
        <item x="658"/>
        <item x="371"/>
        <item x="258"/>
        <item x="297"/>
        <item x="760"/>
        <item x="3"/>
        <item x="642"/>
        <item x="346"/>
        <item x="237"/>
        <item x="443"/>
        <item x="686"/>
        <item x="803"/>
        <item x="45"/>
        <item x="757"/>
        <item x="218"/>
        <item x="597"/>
        <item x="293"/>
        <item x="538"/>
        <item x="407"/>
        <item x="755"/>
        <item x="383"/>
        <item x="430"/>
        <item x="40"/>
        <item x="504"/>
        <item x="270"/>
        <item x="64"/>
        <item x="63"/>
        <item x="734"/>
        <item x="27"/>
        <item x="19"/>
        <item x="132"/>
        <item x="425"/>
        <item x="593"/>
        <item x="105"/>
        <item x="568"/>
        <item x="560"/>
        <item x="241"/>
        <item x="192"/>
        <item x="228"/>
        <item x="618"/>
        <item x="571"/>
        <item x="171"/>
        <item x="416"/>
        <item x="689"/>
        <item x="551"/>
        <item x="156"/>
        <item x="809"/>
        <item x="456"/>
        <item x="522"/>
        <item x="259"/>
        <item x="7"/>
        <item x="127"/>
        <item x="690"/>
        <item x="260"/>
        <item x="380"/>
        <item x="221"/>
        <item x="520"/>
        <item x="177"/>
        <item x="728"/>
        <item x="129"/>
        <item x="62"/>
        <item x="403"/>
        <item x="265"/>
        <item x="486"/>
        <item x="711"/>
        <item x="409"/>
        <item x="787"/>
        <item x="153"/>
        <item x="424"/>
        <item x="314"/>
        <item x="431"/>
        <item x="450"/>
        <item x="480"/>
        <item x="534"/>
        <item x="811"/>
        <item x="398"/>
        <item x="203"/>
        <item x="611"/>
        <item x="631"/>
        <item x="111"/>
        <item x="41"/>
        <item x="14"/>
        <item x="369"/>
        <item x="113"/>
        <item x="308"/>
        <item x="161"/>
        <item x="234"/>
        <item x="49"/>
        <item x="351"/>
        <item x="678"/>
        <item x="483"/>
        <item x="278"/>
        <item x="545"/>
        <item x="251"/>
        <item x="774"/>
        <item x="408"/>
        <item x="382"/>
        <item x="130"/>
        <item x="550"/>
        <item x="418"/>
        <item x="95"/>
        <item x="135"/>
        <item x="704"/>
        <item x="396"/>
        <item x="301"/>
        <item x="616"/>
        <item x="15"/>
        <item x="709"/>
        <item x="125"/>
        <item x="363"/>
        <item x="527"/>
        <item x="42"/>
        <item x="291"/>
        <item x="552"/>
        <item x="226"/>
        <item x="710"/>
        <item x="773"/>
        <item x="149"/>
        <item x="373"/>
        <item x="222"/>
        <item x="570"/>
        <item x="574"/>
        <item x="615"/>
        <item x="367"/>
        <item x="676"/>
        <item x="505"/>
        <item x="462"/>
        <item x="91"/>
        <item x="649"/>
        <item x="106"/>
        <item x="648"/>
        <item x="187"/>
        <item x="475"/>
        <item x="579"/>
        <item x="85"/>
        <item x="454"/>
        <item x="810"/>
        <item x="563"/>
        <item x="355"/>
        <item x="173"/>
        <item x="595"/>
        <item x="232"/>
        <item x="354"/>
        <item x="493"/>
        <item x="427"/>
        <item x="322"/>
        <item x="705"/>
        <item x="8"/>
        <item x="393"/>
        <item x="461"/>
        <item x="185"/>
        <item x="244"/>
        <item x="164"/>
        <item x="74"/>
        <item x="399"/>
        <item x="242"/>
        <item x="68"/>
        <item x="412"/>
        <item x="172"/>
        <item x="501"/>
        <item x="679"/>
        <item x="147"/>
        <item x="349"/>
        <item x="253"/>
        <item x="287"/>
        <item x="182"/>
        <item x="142"/>
        <item t="default"/>
      </items>
    </pivotField>
  </pivotFields>
  <rowFields count="1">
    <field x="7"/>
  </rowFields>
  <rowItems count="2">
    <i>
      <x v="1"/>
    </i>
    <i t="grand">
      <x/>
    </i>
  </rowItems>
  <colItems count="1">
    <i/>
  </colItems>
  <dataFields count="1">
    <dataField name="Count of Risk_Category" fld="7"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2D6F06-15B6-43DD-9FA0-671140310C5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10">
    <pivotField showAll="0"/>
    <pivotField showAll="0"/>
    <pivotField showAll="0">
      <items count="3">
        <item x="0"/>
        <item h="1" x="1"/>
        <item t="default"/>
      </items>
    </pivotField>
    <pivotField showAll="0"/>
    <pivotField showAll="0"/>
    <pivotField showAll="0"/>
    <pivotField axis="axisRow" dataField="1" showAll="0">
      <items count="3">
        <item x="1"/>
        <item x="0"/>
        <item t="default"/>
      </items>
    </pivotField>
    <pivotField showAll="0">
      <items count="4">
        <item h="1" x="0"/>
        <item x="2"/>
        <item h="1" x="1"/>
        <item t="default"/>
      </items>
    </pivotField>
    <pivotField showAll="0"/>
    <pivotField numFmtId="10" showAll="0"/>
  </pivotFields>
  <rowFields count="1">
    <field x="6"/>
  </rowFields>
  <rowItems count="3">
    <i>
      <x/>
    </i>
    <i>
      <x v="1"/>
    </i>
    <i t="grand">
      <x/>
    </i>
  </rowItems>
  <colItems count="1">
    <i/>
  </colItems>
  <dataFields count="1">
    <dataField name="Count of Loan_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742AC-5D3E-4CC7-A062-FAF36D7D666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0">
    <pivotField showAll="0"/>
    <pivotField showAll="0"/>
    <pivotField showAll="0">
      <items count="3">
        <item x="0"/>
        <item h="1" x="1"/>
        <item t="default"/>
      </items>
    </pivotField>
    <pivotField showAll="0"/>
    <pivotField showAll="0"/>
    <pivotField showAll="0"/>
    <pivotField axis="axisRow" dataField="1" showAll="0">
      <items count="3">
        <item x="1"/>
        <item x="0"/>
        <item t="default"/>
      </items>
    </pivotField>
    <pivotField showAll="0">
      <items count="4">
        <item h="1" x="0"/>
        <item x="2"/>
        <item h="1" x="1"/>
        <item t="default"/>
      </items>
    </pivotField>
    <pivotField showAll="0"/>
    <pivotField numFmtId="10" showAll="0"/>
  </pivotFields>
  <rowFields count="1">
    <field x="6"/>
  </rowFields>
  <rowItems count="3">
    <i>
      <x/>
    </i>
    <i>
      <x v="1"/>
    </i>
    <i t="grand">
      <x/>
    </i>
  </rowItems>
  <colItems count="1">
    <i/>
  </colItems>
  <dataFields count="1">
    <dataField name="Count of Loan_Status" fld="6" subtotal="count" showDataAs="percentOfTotal" baseField="6" baseItem="0" numFmtId="1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2258A4-3E51-464F-8808-57395685262C}" sourceName="Gender">
  <pivotTables>
    <pivotTable tabId="2" name="PivotTable1"/>
    <pivotTable tabId="2" name="PivotTable3"/>
    <pivotTable tabId="2" name="PivotTable4"/>
  </pivotTables>
  <data>
    <tabular pivotCacheId="213836822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41CF4018-A6AC-4CA1-BEE4-2D1DBE62173C}" sourceName="Risk_Category">
  <pivotTables>
    <pivotTable tabId="2" name="PivotTable4"/>
    <pivotTable tabId="2" name="PivotTable1"/>
    <pivotTable tabId="2" name="PivotTable3"/>
  </pivotTables>
  <data>
    <tabular pivotCacheId="213836822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E14811-C85A-4577-A71F-009571C3D457}" cache="Slicer_Gender" caption="Gender" rowHeight="234950"/>
  <slicer name="Risk_Category" xr10:uid="{FD53D1EA-004F-4719-AC3D-89F0430236F7}" cache="Slicer_Risk_Category" caption="Risk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4C1DF2-026C-43E3-90D4-B57E0FFFFBFF}" name="Table1" displayName="Table1" ref="A1:J814" totalsRowShown="0">
  <autoFilter ref="A1:J814" xr:uid="{914C1DF2-026C-43E3-90D4-B57E0FFFFBFF}"/>
  <tableColumns count="10">
    <tableColumn id="1" xr3:uid="{470D2FF2-6222-446F-B36D-AD2452AFE6F6}" name="Applicant_ID"/>
    <tableColumn id="2" xr3:uid="{30D10480-F819-48BB-897F-5244D706C6A6}" name="Age"/>
    <tableColumn id="3" xr3:uid="{97892592-3D55-4E63-85FB-64A65F7CB091}" name="Gender"/>
    <tableColumn id="4" xr3:uid="{CDA494E5-61BB-48E0-B2E4-EB6E5ADBDCE9}" name="Income"/>
    <tableColumn id="5" xr3:uid="{1A9DA89F-C716-4848-900A-E8A4220F03E9}" name="LoanAmount"/>
    <tableColumn id="6" xr3:uid="{CB48BB34-C308-4A53-A5A0-3730AE2F0C30}" name="CreditScore"/>
    <tableColumn id="7" xr3:uid="{AEE1853C-D746-412A-A26A-71E06B5CE4B4}" name="Loan_Status"/>
    <tableColumn id="8" xr3:uid="{E223EDCE-AA86-4091-BE2D-EFFD8AB86286}" name="Risk_Category"/>
    <tableColumn id="9" xr3:uid="{7CEFCF30-EB50-4056-A1AC-05DBCCFE5A1B}" name="Income_Group" dataDxfId="1">
      <calculatedColumnFormula>IF(Table1[[#This Row],[Income]]&lt;=30000, "Low Income", IF(Table1[[#This Row],[Income]]&lt;=60000,"Medium Income","High Income"))</calculatedColumnFormula>
    </tableColumn>
    <tableColumn id="10" xr3:uid="{8D1497C7-0E3E-4C41-BE41-145D474E2D0F}" name="Loan_To_Income_Ratio" dataDxfId="0">
      <calculatedColumnFormula>Table1[[#This Row],[LoanAmount]]/Table1[[#This Row],[Income]]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CD78-89BC-4BBA-ACBA-758C1FAB5D97}">
  <sheetPr>
    <tabColor theme="2" tint="-0.749992370372631"/>
  </sheetPr>
  <dimension ref="A1:J814"/>
  <sheetViews>
    <sheetView workbookViewId="0">
      <selection activeCell="A3" sqref="A3"/>
    </sheetView>
  </sheetViews>
  <sheetFormatPr defaultRowHeight="14.4" x14ac:dyDescent="0.3"/>
  <cols>
    <col min="1" max="1" width="13.6640625" customWidth="1"/>
    <col min="3" max="3" width="9" customWidth="1"/>
    <col min="4" max="4" width="9.21875" customWidth="1"/>
    <col min="5" max="5" width="13.88671875" customWidth="1"/>
    <col min="6" max="6" width="12.5546875" customWidth="1"/>
    <col min="7" max="7" width="13.21875" customWidth="1"/>
    <col min="8" max="8" width="19" customWidth="1"/>
    <col min="9" max="9" width="24.44140625" customWidth="1"/>
    <col min="10" max="10" width="26.109375" customWidth="1"/>
  </cols>
  <sheetData>
    <row r="1" spans="1:10" x14ac:dyDescent="0.3">
      <c r="A1" t="s">
        <v>0</v>
      </c>
      <c r="B1" t="s">
        <v>1</v>
      </c>
      <c r="C1" t="s">
        <v>2</v>
      </c>
      <c r="D1" t="s">
        <v>3</v>
      </c>
      <c r="E1" t="s">
        <v>4</v>
      </c>
      <c r="F1" t="s">
        <v>5</v>
      </c>
      <c r="G1" t="s">
        <v>6</v>
      </c>
      <c r="H1" t="s">
        <v>7</v>
      </c>
      <c r="I1" t="s">
        <v>15</v>
      </c>
      <c r="J1" s="1" t="s">
        <v>16</v>
      </c>
    </row>
    <row r="2" spans="1:10" x14ac:dyDescent="0.3">
      <c r="A2">
        <v>1</v>
      </c>
      <c r="B2">
        <v>59</v>
      </c>
      <c r="C2" t="s">
        <v>8</v>
      </c>
      <c r="D2">
        <v>19790</v>
      </c>
      <c r="E2">
        <v>1780</v>
      </c>
      <c r="F2">
        <v>634</v>
      </c>
      <c r="G2" t="s">
        <v>9</v>
      </c>
      <c r="H2" t="s">
        <v>10</v>
      </c>
      <c r="I2" t="str">
        <f>IF(Table1[[#This Row],[Income]]&lt;=30000, "Low Income", IF(Table1[[#This Row],[Income]]&lt;=60000,"Medium Income","High Income"))</f>
        <v>Low Income</v>
      </c>
      <c r="J2" s="1">
        <f>Table1[[#This Row],[LoanAmount]]/Table1[[#This Row],[Income]]</f>
        <v>8.9944416371905006E-2</v>
      </c>
    </row>
    <row r="3" spans="1:10" x14ac:dyDescent="0.3">
      <c r="A3">
        <v>2</v>
      </c>
      <c r="B3">
        <v>49</v>
      </c>
      <c r="C3" t="s">
        <v>11</v>
      </c>
      <c r="D3">
        <v>41911</v>
      </c>
      <c r="E3">
        <v>10908</v>
      </c>
      <c r="F3">
        <v>626</v>
      </c>
      <c r="G3" t="s">
        <v>9</v>
      </c>
      <c r="H3" t="s">
        <v>10</v>
      </c>
      <c r="I3" t="str">
        <f>IF(Table1[[#This Row],[Income]]&lt;=30000, "Low Income", IF(Table1[[#This Row],[Income]]&lt;=60000,"Medium Income","High Income"))</f>
        <v>Medium Income</v>
      </c>
      <c r="J3" s="1">
        <f>Table1[[#This Row],[LoanAmount]]/Table1[[#This Row],[Income]]</f>
        <v>0.26026580134093674</v>
      </c>
    </row>
    <row r="4" spans="1:10" x14ac:dyDescent="0.3">
      <c r="A4">
        <v>3</v>
      </c>
      <c r="B4">
        <v>35</v>
      </c>
      <c r="C4" t="s">
        <v>11</v>
      </c>
      <c r="D4">
        <v>64458</v>
      </c>
      <c r="E4">
        <v>7303</v>
      </c>
      <c r="F4">
        <v>412</v>
      </c>
      <c r="G4" t="s">
        <v>9</v>
      </c>
      <c r="H4" t="s">
        <v>10</v>
      </c>
      <c r="I4" t="str">
        <f>IF(Table1[[#This Row],[Income]]&lt;=30000, "Low Income", IF(Table1[[#This Row],[Income]]&lt;=60000,"Medium Income","High Income"))</f>
        <v>High Income</v>
      </c>
      <c r="J4" s="1">
        <f>Table1[[#This Row],[LoanAmount]]/Table1[[#This Row],[Income]]</f>
        <v>0.11329858202240219</v>
      </c>
    </row>
    <row r="5" spans="1:10" x14ac:dyDescent="0.3">
      <c r="A5">
        <v>4</v>
      </c>
      <c r="B5">
        <v>28</v>
      </c>
      <c r="C5" t="s">
        <v>8</v>
      </c>
      <c r="D5">
        <v>39363</v>
      </c>
      <c r="E5">
        <v>15686</v>
      </c>
      <c r="F5">
        <v>712</v>
      </c>
      <c r="G5" t="s">
        <v>12</v>
      </c>
      <c r="H5" t="s">
        <v>13</v>
      </c>
      <c r="I5" t="str">
        <f>IF(Table1[[#This Row],[Income]]&lt;=30000, "Low Income", IF(Table1[[#This Row],[Income]]&lt;=60000,"Medium Income","High Income"))</f>
        <v>Medium Income</v>
      </c>
      <c r="J5" s="1">
        <f>Table1[[#This Row],[LoanAmount]]/Table1[[#This Row],[Income]]</f>
        <v>0.39849604958971624</v>
      </c>
    </row>
    <row r="6" spans="1:10" x14ac:dyDescent="0.3">
      <c r="A6">
        <v>5</v>
      </c>
      <c r="B6">
        <v>41</v>
      </c>
      <c r="C6" t="s">
        <v>11</v>
      </c>
      <c r="D6">
        <v>35049</v>
      </c>
      <c r="E6">
        <v>4983</v>
      </c>
      <c r="F6">
        <v>448</v>
      </c>
      <c r="G6" t="s">
        <v>9</v>
      </c>
      <c r="H6" t="s">
        <v>10</v>
      </c>
      <c r="I6" t="str">
        <f>IF(Table1[[#This Row],[Income]]&lt;=30000, "Low Income", IF(Table1[[#This Row],[Income]]&lt;=60000,"Medium Income","High Income"))</f>
        <v>Medium Income</v>
      </c>
      <c r="J6" s="1">
        <f>Table1[[#This Row],[LoanAmount]]/Table1[[#This Row],[Income]]</f>
        <v>0.14217238722930753</v>
      </c>
    </row>
    <row r="7" spans="1:10" x14ac:dyDescent="0.3">
      <c r="A7">
        <v>6</v>
      </c>
      <c r="B7">
        <v>59</v>
      </c>
      <c r="C7" t="s">
        <v>11</v>
      </c>
      <c r="D7">
        <v>48500</v>
      </c>
      <c r="E7">
        <v>10503</v>
      </c>
      <c r="F7">
        <v>517</v>
      </c>
      <c r="G7" t="s">
        <v>9</v>
      </c>
      <c r="H7" t="s">
        <v>10</v>
      </c>
      <c r="I7" t="str">
        <f>IF(Table1[[#This Row],[Income]]&lt;=30000, "Low Income", IF(Table1[[#This Row],[Income]]&lt;=60000,"Medium Income","High Income"))</f>
        <v>Medium Income</v>
      </c>
      <c r="J7" s="1">
        <f>Table1[[#This Row],[LoanAmount]]/Table1[[#This Row],[Income]]</f>
        <v>0.21655670103092783</v>
      </c>
    </row>
    <row r="8" spans="1:10" x14ac:dyDescent="0.3">
      <c r="A8">
        <v>7</v>
      </c>
      <c r="B8">
        <v>39</v>
      </c>
      <c r="C8" t="s">
        <v>8</v>
      </c>
      <c r="D8">
        <v>54825</v>
      </c>
      <c r="E8">
        <v>17905</v>
      </c>
      <c r="F8">
        <v>453</v>
      </c>
      <c r="G8" t="s">
        <v>9</v>
      </c>
      <c r="H8" t="s">
        <v>10</v>
      </c>
      <c r="I8" t="str">
        <f>IF(Table1[[#This Row],[Income]]&lt;=30000, "Low Income", IF(Table1[[#This Row],[Income]]&lt;=60000,"Medium Income","High Income"))</f>
        <v>Medium Income</v>
      </c>
      <c r="J8" s="1">
        <f>Table1[[#This Row],[LoanAmount]]/Table1[[#This Row],[Income]]</f>
        <v>0.32658458732330142</v>
      </c>
    </row>
    <row r="9" spans="1:10" x14ac:dyDescent="0.3">
      <c r="A9">
        <v>8</v>
      </c>
      <c r="B9">
        <v>43</v>
      </c>
      <c r="C9" t="s">
        <v>11</v>
      </c>
      <c r="D9">
        <v>31082</v>
      </c>
      <c r="E9">
        <v>14070</v>
      </c>
      <c r="F9">
        <v>537</v>
      </c>
      <c r="G9" t="s">
        <v>9</v>
      </c>
      <c r="H9" t="s">
        <v>10</v>
      </c>
      <c r="I9" t="str">
        <f>IF(Table1[[#This Row],[Income]]&lt;=30000, "Low Income", IF(Table1[[#This Row],[Income]]&lt;=60000,"Medium Income","High Income"))</f>
        <v>Medium Income</v>
      </c>
      <c r="J9" s="1">
        <f>Table1[[#This Row],[LoanAmount]]/Table1[[#This Row],[Income]]</f>
        <v>0.45267357312914225</v>
      </c>
    </row>
    <row r="10" spans="1:10" x14ac:dyDescent="0.3">
      <c r="A10">
        <v>9</v>
      </c>
      <c r="B10">
        <v>31</v>
      </c>
      <c r="C10" t="s">
        <v>11</v>
      </c>
      <c r="D10">
        <v>15661</v>
      </c>
      <c r="E10">
        <v>13232</v>
      </c>
      <c r="F10">
        <v>452</v>
      </c>
      <c r="G10" t="s">
        <v>9</v>
      </c>
      <c r="H10" t="s">
        <v>10</v>
      </c>
      <c r="I10" t="str">
        <f>IF(Table1[[#This Row],[Income]]&lt;=30000, "Low Income", IF(Table1[[#This Row],[Income]]&lt;=60000,"Medium Income","High Income"))</f>
        <v>Low Income</v>
      </c>
      <c r="J10" s="1">
        <f>Table1[[#This Row],[LoanAmount]]/Table1[[#This Row],[Income]]</f>
        <v>0.84490134729583044</v>
      </c>
    </row>
    <row r="11" spans="1:10" x14ac:dyDescent="0.3">
      <c r="A11">
        <v>10</v>
      </c>
      <c r="B11">
        <v>31</v>
      </c>
      <c r="C11" t="s">
        <v>8</v>
      </c>
      <c r="D11">
        <v>52412</v>
      </c>
      <c r="E11">
        <v>5583</v>
      </c>
      <c r="F11">
        <v>443</v>
      </c>
      <c r="G11" t="s">
        <v>9</v>
      </c>
      <c r="H11" t="s">
        <v>10</v>
      </c>
      <c r="I11" t="str">
        <f>IF(Table1[[#This Row],[Income]]&lt;=30000, "Low Income", IF(Table1[[#This Row],[Income]]&lt;=60000,"Medium Income","High Income"))</f>
        <v>Medium Income</v>
      </c>
      <c r="J11" s="1">
        <f>Table1[[#This Row],[LoanAmount]]/Table1[[#This Row],[Income]]</f>
        <v>0.10652140731130276</v>
      </c>
    </row>
    <row r="12" spans="1:10" x14ac:dyDescent="0.3">
      <c r="A12">
        <v>11</v>
      </c>
      <c r="B12">
        <v>44</v>
      </c>
      <c r="C12" t="s">
        <v>8</v>
      </c>
      <c r="D12">
        <v>63479</v>
      </c>
      <c r="E12">
        <v>6946</v>
      </c>
      <c r="F12">
        <v>702</v>
      </c>
      <c r="G12" t="s">
        <v>12</v>
      </c>
      <c r="H12" t="s">
        <v>13</v>
      </c>
      <c r="I12" t="str">
        <f>IF(Table1[[#This Row],[Income]]&lt;=30000, "Low Income", IF(Table1[[#This Row],[Income]]&lt;=60000,"Medium Income","High Income"))</f>
        <v>High Income</v>
      </c>
      <c r="J12" s="1">
        <f>Table1[[#This Row],[LoanAmount]]/Table1[[#This Row],[Income]]</f>
        <v>0.10942201357929394</v>
      </c>
    </row>
    <row r="13" spans="1:10" x14ac:dyDescent="0.3">
      <c r="A13">
        <v>14</v>
      </c>
      <c r="B13">
        <v>23</v>
      </c>
      <c r="C13" t="s">
        <v>8</v>
      </c>
      <c r="D13">
        <v>40658</v>
      </c>
      <c r="E13">
        <v>12889</v>
      </c>
      <c r="F13">
        <v>445</v>
      </c>
      <c r="G13" t="s">
        <v>9</v>
      </c>
      <c r="H13" t="s">
        <v>10</v>
      </c>
      <c r="I13" t="str">
        <f>IF(Table1[[#This Row],[Income]]&lt;=30000, "Low Income", IF(Table1[[#This Row],[Income]]&lt;=60000,"Medium Income","High Income"))</f>
        <v>Medium Income</v>
      </c>
      <c r="J13" s="1">
        <f>Table1[[#This Row],[LoanAmount]]/Table1[[#This Row],[Income]]</f>
        <v>0.31701018249790941</v>
      </c>
    </row>
    <row r="14" spans="1:10" x14ac:dyDescent="0.3">
      <c r="A14">
        <v>15</v>
      </c>
      <c r="B14">
        <v>42</v>
      </c>
      <c r="C14" t="s">
        <v>8</v>
      </c>
      <c r="D14">
        <v>48500</v>
      </c>
      <c r="E14">
        <v>13275</v>
      </c>
      <c r="F14">
        <v>412</v>
      </c>
      <c r="G14" t="s">
        <v>9</v>
      </c>
      <c r="H14" t="s">
        <v>10</v>
      </c>
      <c r="I14" t="str">
        <f>IF(Table1[[#This Row],[Income]]&lt;=30000, "Low Income", IF(Table1[[#This Row],[Income]]&lt;=60000,"Medium Income","High Income"))</f>
        <v>Medium Income</v>
      </c>
      <c r="J14" s="1">
        <f>Table1[[#This Row],[LoanAmount]]/Table1[[#This Row],[Income]]</f>
        <v>0.27371134020618559</v>
      </c>
    </row>
    <row r="15" spans="1:10" x14ac:dyDescent="0.3">
      <c r="A15">
        <v>16</v>
      </c>
      <c r="B15">
        <v>22</v>
      </c>
      <c r="C15" t="s">
        <v>11</v>
      </c>
      <c r="D15">
        <v>75315</v>
      </c>
      <c r="E15">
        <v>3461</v>
      </c>
      <c r="F15">
        <v>564</v>
      </c>
      <c r="G15" t="s">
        <v>9</v>
      </c>
      <c r="H15" t="s">
        <v>10</v>
      </c>
      <c r="I15" t="str">
        <f>IF(Table1[[#This Row],[Income]]&lt;=30000, "Low Income", IF(Table1[[#This Row],[Income]]&lt;=60000,"Medium Income","High Income"))</f>
        <v>High Income</v>
      </c>
      <c r="J15" s="1">
        <f>Table1[[#This Row],[LoanAmount]]/Table1[[#This Row],[Income]]</f>
        <v>4.595366128925181E-2</v>
      </c>
    </row>
    <row r="16" spans="1:10" x14ac:dyDescent="0.3">
      <c r="A16">
        <v>17</v>
      </c>
      <c r="B16">
        <v>44</v>
      </c>
      <c r="C16" t="s">
        <v>8</v>
      </c>
      <c r="D16">
        <v>29025</v>
      </c>
      <c r="E16">
        <v>15291</v>
      </c>
      <c r="F16">
        <v>501</v>
      </c>
      <c r="G16" t="s">
        <v>9</v>
      </c>
      <c r="H16" t="s">
        <v>10</v>
      </c>
      <c r="I16" t="str">
        <f>IF(Table1[[#This Row],[Income]]&lt;=30000, "Low Income", IF(Table1[[#This Row],[Income]]&lt;=60000,"Medium Income","High Income"))</f>
        <v>Low Income</v>
      </c>
      <c r="J16" s="1">
        <f>Table1[[#This Row],[LoanAmount]]/Table1[[#This Row],[Income]]</f>
        <v>0.52682170542635653</v>
      </c>
    </row>
    <row r="17" spans="1:10" x14ac:dyDescent="0.3">
      <c r="A17">
        <v>18</v>
      </c>
      <c r="B17">
        <v>50</v>
      </c>
      <c r="C17" t="s">
        <v>11</v>
      </c>
      <c r="D17">
        <v>23946</v>
      </c>
      <c r="E17">
        <v>15036</v>
      </c>
      <c r="F17">
        <v>679</v>
      </c>
      <c r="G17" t="s">
        <v>9</v>
      </c>
      <c r="H17" t="s">
        <v>13</v>
      </c>
      <c r="I17" t="str">
        <f>IF(Table1[[#This Row],[Income]]&lt;=30000, "Low Income", IF(Table1[[#This Row],[Income]]&lt;=60000,"Medium Income","High Income"))</f>
        <v>Low Income</v>
      </c>
      <c r="J17" s="1">
        <f>Table1[[#This Row],[LoanAmount]]/Table1[[#This Row],[Income]]</f>
        <v>0.62791280380856929</v>
      </c>
    </row>
    <row r="18" spans="1:10" x14ac:dyDescent="0.3">
      <c r="A18">
        <v>19</v>
      </c>
      <c r="B18">
        <v>58</v>
      </c>
      <c r="C18" t="s">
        <v>11</v>
      </c>
      <c r="D18">
        <v>43706</v>
      </c>
      <c r="E18">
        <v>12435</v>
      </c>
      <c r="F18">
        <v>657</v>
      </c>
      <c r="G18" t="s">
        <v>9</v>
      </c>
      <c r="H18" t="s">
        <v>13</v>
      </c>
      <c r="I18" t="str">
        <f>IF(Table1[[#This Row],[Income]]&lt;=30000, "Low Income", IF(Table1[[#This Row],[Income]]&lt;=60000,"Medium Income","High Income"))</f>
        <v>Medium Income</v>
      </c>
      <c r="J18" s="1">
        <f>Table1[[#This Row],[LoanAmount]]/Table1[[#This Row],[Income]]</f>
        <v>0.28451471193886424</v>
      </c>
    </row>
    <row r="19" spans="1:10" x14ac:dyDescent="0.3">
      <c r="A19">
        <v>20</v>
      </c>
      <c r="B19">
        <v>22</v>
      </c>
      <c r="C19" t="s">
        <v>11</v>
      </c>
      <c r="D19">
        <v>60500</v>
      </c>
      <c r="E19">
        <v>1685</v>
      </c>
      <c r="F19">
        <v>736</v>
      </c>
      <c r="G19" t="s">
        <v>12</v>
      </c>
      <c r="H19" t="s">
        <v>13</v>
      </c>
      <c r="I19" t="str">
        <f>IF(Table1[[#This Row],[Income]]&lt;=30000, "Low Income", IF(Table1[[#This Row],[Income]]&lt;=60000,"Medium Income","High Income"))</f>
        <v>High Income</v>
      </c>
      <c r="J19" s="1">
        <f>Table1[[#This Row],[LoanAmount]]/Table1[[#This Row],[Income]]</f>
        <v>2.7851239669421487E-2</v>
      </c>
    </row>
    <row r="20" spans="1:10" x14ac:dyDescent="0.3">
      <c r="A20">
        <v>21</v>
      </c>
      <c r="B20">
        <v>41</v>
      </c>
      <c r="C20" t="s">
        <v>11</v>
      </c>
      <c r="D20">
        <v>54004</v>
      </c>
      <c r="E20">
        <v>19544</v>
      </c>
      <c r="F20">
        <v>755</v>
      </c>
      <c r="G20" t="s">
        <v>12</v>
      </c>
      <c r="H20" t="s">
        <v>14</v>
      </c>
      <c r="I20" t="str">
        <f>IF(Table1[[#This Row],[Income]]&lt;=30000, "Low Income", IF(Table1[[#This Row],[Income]]&lt;=60000,"Medium Income","High Income"))</f>
        <v>Medium Income</v>
      </c>
      <c r="J20" s="1">
        <f>Table1[[#This Row],[LoanAmount]]/Table1[[#This Row],[Income]]</f>
        <v>0.36189911858380863</v>
      </c>
    </row>
    <row r="21" spans="1:10" x14ac:dyDescent="0.3">
      <c r="A21">
        <v>22</v>
      </c>
      <c r="B21">
        <v>53</v>
      </c>
      <c r="C21" t="s">
        <v>11</v>
      </c>
      <c r="D21">
        <v>31309</v>
      </c>
      <c r="E21">
        <v>13258</v>
      </c>
      <c r="F21">
        <v>797</v>
      </c>
      <c r="G21" t="s">
        <v>9</v>
      </c>
      <c r="H21" t="s">
        <v>14</v>
      </c>
      <c r="I21" t="str">
        <f>IF(Table1[[#This Row],[Income]]&lt;=30000, "Low Income", IF(Table1[[#This Row],[Income]]&lt;=60000,"Medium Income","High Income"))</f>
        <v>Medium Income</v>
      </c>
      <c r="J21" s="1">
        <f>Table1[[#This Row],[LoanAmount]]/Table1[[#This Row],[Income]]</f>
        <v>0.42345651410137658</v>
      </c>
    </row>
    <row r="22" spans="1:10" x14ac:dyDescent="0.3">
      <c r="A22">
        <v>23</v>
      </c>
      <c r="B22">
        <v>32</v>
      </c>
      <c r="C22" t="s">
        <v>8</v>
      </c>
      <c r="D22">
        <v>70230</v>
      </c>
      <c r="E22">
        <v>16990</v>
      </c>
      <c r="F22">
        <v>537</v>
      </c>
      <c r="G22" t="s">
        <v>9</v>
      </c>
      <c r="H22" t="s">
        <v>10</v>
      </c>
      <c r="I22" t="str">
        <f>IF(Table1[[#This Row],[Income]]&lt;=30000, "Low Income", IF(Table1[[#This Row],[Income]]&lt;=60000,"Medium Income","High Income"))</f>
        <v>High Income</v>
      </c>
      <c r="J22" s="1">
        <f>Table1[[#This Row],[LoanAmount]]/Table1[[#This Row],[Income]]</f>
        <v>0.24191940766054393</v>
      </c>
    </row>
    <row r="23" spans="1:10" x14ac:dyDescent="0.3">
      <c r="A23">
        <v>25</v>
      </c>
      <c r="B23">
        <v>45</v>
      </c>
      <c r="C23" t="s">
        <v>8</v>
      </c>
      <c r="D23">
        <v>48120</v>
      </c>
      <c r="E23">
        <v>11736</v>
      </c>
      <c r="F23">
        <v>808</v>
      </c>
      <c r="G23" t="s">
        <v>12</v>
      </c>
      <c r="H23" t="s">
        <v>14</v>
      </c>
      <c r="I23" t="str">
        <f>IF(Table1[[#This Row],[Income]]&lt;=30000, "Low Income", IF(Table1[[#This Row],[Income]]&lt;=60000,"Medium Income","High Income"))</f>
        <v>Medium Income</v>
      </c>
      <c r="J23" s="1">
        <f>Table1[[#This Row],[LoanAmount]]/Table1[[#This Row],[Income]]</f>
        <v>0.24389027431421445</v>
      </c>
    </row>
    <row r="24" spans="1:10" x14ac:dyDescent="0.3">
      <c r="A24">
        <v>26</v>
      </c>
      <c r="B24">
        <v>47</v>
      </c>
      <c r="C24" t="s">
        <v>8</v>
      </c>
      <c r="D24">
        <v>73246</v>
      </c>
      <c r="E24">
        <v>5875</v>
      </c>
      <c r="F24">
        <v>786</v>
      </c>
      <c r="G24" t="s">
        <v>12</v>
      </c>
      <c r="H24" t="s">
        <v>14</v>
      </c>
      <c r="I24" t="str">
        <f>IF(Table1[[#This Row],[Income]]&lt;=30000, "Low Income", IF(Table1[[#This Row],[Income]]&lt;=60000,"Medium Income","High Income"))</f>
        <v>High Income</v>
      </c>
      <c r="J24" s="1">
        <f>Table1[[#This Row],[LoanAmount]]/Table1[[#This Row],[Income]]</f>
        <v>8.0209158179286241E-2</v>
      </c>
    </row>
    <row r="25" spans="1:10" x14ac:dyDescent="0.3">
      <c r="A25">
        <v>29</v>
      </c>
      <c r="B25">
        <v>35</v>
      </c>
      <c r="C25" t="s">
        <v>11</v>
      </c>
      <c r="D25">
        <v>48500</v>
      </c>
      <c r="E25">
        <v>3196</v>
      </c>
      <c r="F25">
        <v>416</v>
      </c>
      <c r="G25" t="s">
        <v>9</v>
      </c>
      <c r="H25" t="s">
        <v>10</v>
      </c>
      <c r="I25" t="str">
        <f>IF(Table1[[#This Row],[Income]]&lt;=30000, "Low Income", IF(Table1[[#This Row],[Income]]&lt;=60000,"Medium Income","High Income"))</f>
        <v>Medium Income</v>
      </c>
      <c r="J25" s="1">
        <f>Table1[[#This Row],[LoanAmount]]/Table1[[#This Row],[Income]]</f>
        <v>6.5896907216494841E-2</v>
      </c>
    </row>
    <row r="26" spans="1:10" x14ac:dyDescent="0.3">
      <c r="A26">
        <v>30</v>
      </c>
      <c r="B26">
        <v>23</v>
      </c>
      <c r="C26" t="s">
        <v>11</v>
      </c>
      <c r="D26">
        <v>61804</v>
      </c>
      <c r="E26">
        <v>8165</v>
      </c>
      <c r="F26">
        <v>667</v>
      </c>
      <c r="G26" t="s">
        <v>9</v>
      </c>
      <c r="H26" t="s">
        <v>13</v>
      </c>
      <c r="I26" t="str">
        <f>IF(Table1[[#This Row],[Income]]&lt;=30000, "Low Income", IF(Table1[[#This Row],[Income]]&lt;=60000,"Medium Income","High Income"))</f>
        <v>High Income</v>
      </c>
      <c r="J26" s="1">
        <f>Table1[[#This Row],[LoanAmount]]/Table1[[#This Row],[Income]]</f>
        <v>0.13211119021422563</v>
      </c>
    </row>
    <row r="27" spans="1:10" x14ac:dyDescent="0.3">
      <c r="A27">
        <v>31</v>
      </c>
      <c r="B27">
        <v>57</v>
      </c>
      <c r="C27" t="s">
        <v>8</v>
      </c>
      <c r="D27">
        <v>64310</v>
      </c>
      <c r="E27">
        <v>16997</v>
      </c>
      <c r="F27">
        <v>581</v>
      </c>
      <c r="G27" t="s">
        <v>9</v>
      </c>
      <c r="H27" t="s">
        <v>10</v>
      </c>
      <c r="I27" t="str">
        <f>IF(Table1[[#This Row],[Income]]&lt;=30000, "Low Income", IF(Table1[[#This Row],[Income]]&lt;=60000,"Medium Income","High Income"))</f>
        <v>High Income</v>
      </c>
      <c r="J27" s="1">
        <f>Table1[[#This Row],[LoanAmount]]/Table1[[#This Row],[Income]]</f>
        <v>0.2642979318923962</v>
      </c>
    </row>
    <row r="28" spans="1:10" x14ac:dyDescent="0.3">
      <c r="A28">
        <v>36</v>
      </c>
      <c r="B28">
        <v>38</v>
      </c>
      <c r="C28" t="s">
        <v>8</v>
      </c>
      <c r="D28">
        <v>62908</v>
      </c>
      <c r="E28">
        <v>10951</v>
      </c>
      <c r="F28">
        <v>808</v>
      </c>
      <c r="G28" t="s">
        <v>12</v>
      </c>
      <c r="H28" t="s">
        <v>14</v>
      </c>
      <c r="I28" t="str">
        <f>IF(Table1[[#This Row],[Income]]&lt;=30000, "Low Income", IF(Table1[[#This Row],[Income]]&lt;=60000,"Medium Income","High Income"))</f>
        <v>High Income</v>
      </c>
      <c r="J28" s="1">
        <f>Table1[[#This Row],[LoanAmount]]/Table1[[#This Row],[Income]]</f>
        <v>0.17407960831690722</v>
      </c>
    </row>
    <row r="29" spans="1:10" x14ac:dyDescent="0.3">
      <c r="A29">
        <v>37</v>
      </c>
      <c r="B29">
        <v>24</v>
      </c>
      <c r="C29" t="s">
        <v>8</v>
      </c>
      <c r="D29">
        <v>27803</v>
      </c>
      <c r="E29">
        <v>11773</v>
      </c>
      <c r="F29">
        <v>627</v>
      </c>
      <c r="G29" t="s">
        <v>9</v>
      </c>
      <c r="H29" t="s">
        <v>10</v>
      </c>
      <c r="I29" t="str">
        <f>IF(Table1[[#This Row],[Income]]&lt;=30000, "Low Income", IF(Table1[[#This Row],[Income]]&lt;=60000,"Medium Income","High Income"))</f>
        <v>Low Income</v>
      </c>
      <c r="J29" s="1">
        <f>Table1[[#This Row],[LoanAmount]]/Table1[[#This Row],[Income]]</f>
        <v>0.42344351328993274</v>
      </c>
    </row>
    <row r="30" spans="1:10" x14ac:dyDescent="0.3">
      <c r="A30">
        <v>38</v>
      </c>
      <c r="B30">
        <v>45</v>
      </c>
      <c r="C30" t="s">
        <v>11</v>
      </c>
      <c r="D30">
        <v>75123</v>
      </c>
      <c r="E30">
        <v>17140</v>
      </c>
      <c r="F30">
        <v>777</v>
      </c>
      <c r="G30" t="s">
        <v>12</v>
      </c>
      <c r="H30" t="s">
        <v>14</v>
      </c>
      <c r="I30" t="str">
        <f>IF(Table1[[#This Row],[Income]]&lt;=30000, "Low Income", IF(Table1[[#This Row],[Income]]&lt;=60000,"Medium Income","High Income"))</f>
        <v>High Income</v>
      </c>
      <c r="J30" s="1">
        <f>Table1[[#This Row],[LoanAmount]]/Table1[[#This Row],[Income]]</f>
        <v>0.22815915232352277</v>
      </c>
    </row>
    <row r="31" spans="1:10" x14ac:dyDescent="0.3">
      <c r="A31">
        <v>39</v>
      </c>
      <c r="B31">
        <v>34</v>
      </c>
      <c r="C31" t="s">
        <v>11</v>
      </c>
      <c r="D31">
        <v>40963</v>
      </c>
      <c r="E31">
        <v>14057</v>
      </c>
      <c r="F31">
        <v>587</v>
      </c>
      <c r="G31" t="s">
        <v>9</v>
      </c>
      <c r="H31" t="s">
        <v>10</v>
      </c>
      <c r="I31" t="str">
        <f>IF(Table1[[#This Row],[Income]]&lt;=30000, "Low Income", IF(Table1[[#This Row],[Income]]&lt;=60000,"Medium Income","High Income"))</f>
        <v>Medium Income</v>
      </c>
      <c r="J31" s="1">
        <f>Table1[[#This Row],[LoanAmount]]/Table1[[#This Row],[Income]]</f>
        <v>0.34316334252862341</v>
      </c>
    </row>
    <row r="32" spans="1:10" x14ac:dyDescent="0.3">
      <c r="A32">
        <v>40</v>
      </c>
      <c r="B32">
        <v>29</v>
      </c>
      <c r="C32" t="s">
        <v>8</v>
      </c>
      <c r="D32">
        <v>51221</v>
      </c>
      <c r="E32">
        <v>13500</v>
      </c>
      <c r="F32">
        <v>745</v>
      </c>
      <c r="G32" t="s">
        <v>12</v>
      </c>
      <c r="H32" t="s">
        <v>13</v>
      </c>
      <c r="I32" t="str">
        <f>IF(Table1[[#This Row],[Income]]&lt;=30000, "Low Income", IF(Table1[[#This Row],[Income]]&lt;=60000,"Medium Income","High Income"))</f>
        <v>Medium Income</v>
      </c>
      <c r="J32" s="1">
        <f>Table1[[#This Row],[LoanAmount]]/Table1[[#This Row],[Income]]</f>
        <v>0.26356377267136527</v>
      </c>
    </row>
    <row r="33" spans="1:10" x14ac:dyDescent="0.3">
      <c r="A33">
        <v>42</v>
      </c>
      <c r="B33">
        <v>22</v>
      </c>
      <c r="C33" t="s">
        <v>11</v>
      </c>
      <c r="D33">
        <v>48723</v>
      </c>
      <c r="E33">
        <v>12870</v>
      </c>
      <c r="F33">
        <v>720</v>
      </c>
      <c r="G33" t="s">
        <v>12</v>
      </c>
      <c r="H33" t="s">
        <v>13</v>
      </c>
      <c r="I33" t="str">
        <f>IF(Table1[[#This Row],[Income]]&lt;=30000, "Low Income", IF(Table1[[#This Row],[Income]]&lt;=60000,"Medium Income","High Income"))</f>
        <v>Medium Income</v>
      </c>
      <c r="J33" s="1">
        <f>Table1[[#This Row],[LoanAmount]]/Table1[[#This Row],[Income]]</f>
        <v>0.26414629641031956</v>
      </c>
    </row>
    <row r="34" spans="1:10" x14ac:dyDescent="0.3">
      <c r="A34">
        <v>43</v>
      </c>
      <c r="B34">
        <v>40</v>
      </c>
      <c r="C34" t="s">
        <v>11</v>
      </c>
      <c r="D34">
        <v>54063</v>
      </c>
      <c r="E34">
        <v>5082</v>
      </c>
      <c r="F34">
        <v>739</v>
      </c>
      <c r="G34" t="s">
        <v>12</v>
      </c>
      <c r="H34" t="s">
        <v>13</v>
      </c>
      <c r="I34" t="str">
        <f>IF(Table1[[#This Row],[Income]]&lt;=30000, "Low Income", IF(Table1[[#This Row],[Income]]&lt;=60000,"Medium Income","High Income"))</f>
        <v>Medium Income</v>
      </c>
      <c r="J34" s="1">
        <f>Table1[[#This Row],[LoanAmount]]/Table1[[#This Row],[Income]]</f>
        <v>9.400144276122302E-2</v>
      </c>
    </row>
    <row r="35" spans="1:10" x14ac:dyDescent="0.3">
      <c r="A35">
        <v>44</v>
      </c>
      <c r="B35">
        <v>48</v>
      </c>
      <c r="C35" t="s">
        <v>8</v>
      </c>
      <c r="D35">
        <v>63689</v>
      </c>
      <c r="E35">
        <v>14718</v>
      </c>
      <c r="F35">
        <v>518</v>
      </c>
      <c r="G35" t="s">
        <v>9</v>
      </c>
      <c r="H35" t="s">
        <v>10</v>
      </c>
      <c r="I35" t="str">
        <f>IF(Table1[[#This Row],[Income]]&lt;=30000, "Low Income", IF(Table1[[#This Row],[Income]]&lt;=60000,"Medium Income","High Income"))</f>
        <v>High Income</v>
      </c>
      <c r="J35" s="1">
        <f>Table1[[#This Row],[LoanAmount]]/Table1[[#This Row],[Income]]</f>
        <v>0.23109171128452324</v>
      </c>
    </row>
    <row r="36" spans="1:10" x14ac:dyDescent="0.3">
      <c r="A36">
        <v>45</v>
      </c>
      <c r="B36">
        <v>27</v>
      </c>
      <c r="C36" t="s">
        <v>11</v>
      </c>
      <c r="D36">
        <v>65864</v>
      </c>
      <c r="E36">
        <v>11517</v>
      </c>
      <c r="F36">
        <v>555</v>
      </c>
      <c r="G36" t="s">
        <v>9</v>
      </c>
      <c r="H36" t="s">
        <v>10</v>
      </c>
      <c r="I36" t="str">
        <f>IF(Table1[[#This Row],[Income]]&lt;=30000, "Low Income", IF(Table1[[#This Row],[Income]]&lt;=60000,"Medium Income","High Income"))</f>
        <v>High Income</v>
      </c>
      <c r="J36" s="1">
        <f>Table1[[#This Row],[LoanAmount]]/Table1[[#This Row],[Income]]</f>
        <v>0.17486031823150736</v>
      </c>
    </row>
    <row r="37" spans="1:10" x14ac:dyDescent="0.3">
      <c r="A37">
        <v>46</v>
      </c>
      <c r="B37">
        <v>28</v>
      </c>
      <c r="C37" t="s">
        <v>8</v>
      </c>
      <c r="D37">
        <v>30282</v>
      </c>
      <c r="E37">
        <v>4754</v>
      </c>
      <c r="F37">
        <v>671</v>
      </c>
      <c r="G37" t="s">
        <v>9</v>
      </c>
      <c r="H37" t="s">
        <v>13</v>
      </c>
      <c r="I37" t="str">
        <f>IF(Table1[[#This Row],[Income]]&lt;=30000, "Low Income", IF(Table1[[#This Row],[Income]]&lt;=60000,"Medium Income","High Income"))</f>
        <v>Medium Income</v>
      </c>
      <c r="J37" s="1">
        <f>Table1[[#This Row],[LoanAmount]]/Table1[[#This Row],[Income]]</f>
        <v>0.15699095172049402</v>
      </c>
    </row>
    <row r="38" spans="1:10" x14ac:dyDescent="0.3">
      <c r="A38">
        <v>47</v>
      </c>
      <c r="B38">
        <v>55</v>
      </c>
      <c r="C38" t="s">
        <v>11</v>
      </c>
      <c r="D38">
        <v>48500</v>
      </c>
      <c r="E38">
        <v>2724</v>
      </c>
      <c r="F38">
        <v>574</v>
      </c>
      <c r="G38" t="s">
        <v>9</v>
      </c>
      <c r="H38" t="s">
        <v>10</v>
      </c>
      <c r="I38" t="str">
        <f>IF(Table1[[#This Row],[Income]]&lt;=30000, "Low Income", IF(Table1[[#This Row],[Income]]&lt;=60000,"Medium Income","High Income"))</f>
        <v>Medium Income</v>
      </c>
      <c r="J38" s="1">
        <f>Table1[[#This Row],[LoanAmount]]/Table1[[#This Row],[Income]]</f>
        <v>5.6164948453608247E-2</v>
      </c>
    </row>
    <row r="39" spans="1:10" x14ac:dyDescent="0.3">
      <c r="A39">
        <v>48</v>
      </c>
      <c r="B39">
        <v>34</v>
      </c>
      <c r="C39" t="s">
        <v>11</v>
      </c>
      <c r="D39">
        <v>21563</v>
      </c>
      <c r="E39">
        <v>2376</v>
      </c>
      <c r="F39">
        <v>503</v>
      </c>
      <c r="G39" t="s">
        <v>9</v>
      </c>
      <c r="H39" t="s">
        <v>10</v>
      </c>
      <c r="I39" t="str">
        <f>IF(Table1[[#This Row],[Income]]&lt;=30000, "Low Income", IF(Table1[[#This Row],[Income]]&lt;=60000,"Medium Income","High Income"))</f>
        <v>Low Income</v>
      </c>
      <c r="J39" s="1">
        <f>Table1[[#This Row],[LoanAmount]]/Table1[[#This Row],[Income]]</f>
        <v>0.11018874924639428</v>
      </c>
    </row>
    <row r="40" spans="1:10" x14ac:dyDescent="0.3">
      <c r="A40">
        <v>49</v>
      </c>
      <c r="B40">
        <v>37</v>
      </c>
      <c r="C40" t="s">
        <v>11</v>
      </c>
      <c r="D40">
        <v>40849</v>
      </c>
      <c r="E40">
        <v>9706</v>
      </c>
      <c r="F40">
        <v>491</v>
      </c>
      <c r="G40" t="s">
        <v>9</v>
      </c>
      <c r="H40" t="s">
        <v>10</v>
      </c>
      <c r="I40" t="str">
        <f>IF(Table1[[#This Row],[Income]]&lt;=30000, "Low Income", IF(Table1[[#This Row],[Income]]&lt;=60000,"Medium Income","High Income"))</f>
        <v>Medium Income</v>
      </c>
      <c r="J40" s="1">
        <f>Table1[[#This Row],[LoanAmount]]/Table1[[#This Row],[Income]]</f>
        <v>0.23760679575999413</v>
      </c>
    </row>
    <row r="41" spans="1:10" x14ac:dyDescent="0.3">
      <c r="A41">
        <v>50</v>
      </c>
      <c r="B41">
        <v>56</v>
      </c>
      <c r="C41" t="s">
        <v>8</v>
      </c>
      <c r="D41">
        <v>46860</v>
      </c>
      <c r="E41">
        <v>9894</v>
      </c>
      <c r="F41">
        <v>585</v>
      </c>
      <c r="G41" t="s">
        <v>9</v>
      </c>
      <c r="H41" t="s">
        <v>10</v>
      </c>
      <c r="I41" t="str">
        <f>IF(Table1[[#This Row],[Income]]&lt;=30000, "Low Income", IF(Table1[[#This Row],[Income]]&lt;=60000,"Medium Income","High Income"))</f>
        <v>Medium Income</v>
      </c>
      <c r="J41" s="1">
        <f>Table1[[#This Row],[LoanAmount]]/Table1[[#This Row],[Income]]</f>
        <v>0.21113956466069142</v>
      </c>
    </row>
    <row r="42" spans="1:10" x14ac:dyDescent="0.3">
      <c r="A42">
        <v>51</v>
      </c>
      <c r="B42">
        <v>24</v>
      </c>
      <c r="C42" t="s">
        <v>11</v>
      </c>
      <c r="D42">
        <v>46585</v>
      </c>
      <c r="E42">
        <v>19037</v>
      </c>
      <c r="F42">
        <v>682</v>
      </c>
      <c r="G42" t="s">
        <v>9</v>
      </c>
      <c r="H42" t="s">
        <v>13</v>
      </c>
      <c r="I42" t="str">
        <f>IF(Table1[[#This Row],[Income]]&lt;=30000, "Low Income", IF(Table1[[#This Row],[Income]]&lt;=60000,"Medium Income","High Income"))</f>
        <v>Medium Income</v>
      </c>
      <c r="J42" s="1">
        <f>Table1[[#This Row],[LoanAmount]]/Table1[[#This Row],[Income]]</f>
        <v>0.40865085327895245</v>
      </c>
    </row>
    <row r="43" spans="1:10" x14ac:dyDescent="0.3">
      <c r="A43">
        <v>52</v>
      </c>
      <c r="B43">
        <v>22</v>
      </c>
      <c r="C43" t="s">
        <v>8</v>
      </c>
      <c r="D43">
        <v>37015</v>
      </c>
      <c r="E43">
        <v>19450</v>
      </c>
      <c r="F43">
        <v>580</v>
      </c>
      <c r="G43" t="s">
        <v>9</v>
      </c>
      <c r="H43" t="s">
        <v>10</v>
      </c>
      <c r="I43" t="str">
        <f>IF(Table1[[#This Row],[Income]]&lt;=30000, "Low Income", IF(Table1[[#This Row],[Income]]&lt;=60000,"Medium Income","High Income"))</f>
        <v>Medium Income</v>
      </c>
      <c r="J43" s="1">
        <f>Table1[[#This Row],[LoanAmount]]/Table1[[#This Row],[Income]]</f>
        <v>0.52546265027691474</v>
      </c>
    </row>
    <row r="44" spans="1:10" x14ac:dyDescent="0.3">
      <c r="A44">
        <v>53</v>
      </c>
      <c r="B44">
        <v>26</v>
      </c>
      <c r="C44" t="s">
        <v>8</v>
      </c>
      <c r="D44">
        <v>27003</v>
      </c>
      <c r="E44">
        <v>17406</v>
      </c>
      <c r="F44">
        <v>569</v>
      </c>
      <c r="G44" t="s">
        <v>9</v>
      </c>
      <c r="H44" t="s">
        <v>10</v>
      </c>
      <c r="I44" t="str">
        <f>IF(Table1[[#This Row],[Income]]&lt;=30000, "Low Income", IF(Table1[[#This Row],[Income]]&lt;=60000,"Medium Income","High Income"))</f>
        <v>Low Income</v>
      </c>
      <c r="J44" s="1">
        <f>Table1[[#This Row],[LoanAmount]]/Table1[[#This Row],[Income]]</f>
        <v>0.64459504499500053</v>
      </c>
    </row>
    <row r="45" spans="1:10" x14ac:dyDescent="0.3">
      <c r="A45">
        <v>55</v>
      </c>
      <c r="B45">
        <v>49</v>
      </c>
      <c r="C45" t="s">
        <v>11</v>
      </c>
      <c r="D45">
        <v>41958</v>
      </c>
      <c r="E45">
        <v>6926</v>
      </c>
      <c r="F45">
        <v>574</v>
      </c>
      <c r="G45" t="s">
        <v>9</v>
      </c>
      <c r="H45" t="s">
        <v>10</v>
      </c>
      <c r="I45" t="str">
        <f>IF(Table1[[#This Row],[Income]]&lt;=30000, "Low Income", IF(Table1[[#This Row],[Income]]&lt;=60000,"Medium Income","High Income"))</f>
        <v>Medium Income</v>
      </c>
      <c r="J45" s="1">
        <f>Table1[[#This Row],[LoanAmount]]/Table1[[#This Row],[Income]]</f>
        <v>0.16506983173649839</v>
      </c>
    </row>
    <row r="46" spans="1:10" x14ac:dyDescent="0.3">
      <c r="A46">
        <v>56</v>
      </c>
      <c r="B46">
        <v>38</v>
      </c>
      <c r="C46" t="s">
        <v>11</v>
      </c>
      <c r="D46">
        <v>41017</v>
      </c>
      <c r="E46">
        <v>7251</v>
      </c>
      <c r="F46">
        <v>621</v>
      </c>
      <c r="G46" t="s">
        <v>9</v>
      </c>
      <c r="H46" t="s">
        <v>10</v>
      </c>
      <c r="I46" t="str">
        <f>IF(Table1[[#This Row],[Income]]&lt;=30000, "Low Income", IF(Table1[[#This Row],[Income]]&lt;=60000,"Medium Income","High Income"))</f>
        <v>Medium Income</v>
      </c>
      <c r="J46" s="1">
        <f>Table1[[#This Row],[LoanAmount]]/Table1[[#This Row],[Income]]</f>
        <v>0.17678035936319086</v>
      </c>
    </row>
    <row r="47" spans="1:10" x14ac:dyDescent="0.3">
      <c r="A47">
        <v>57</v>
      </c>
      <c r="B47">
        <v>46</v>
      </c>
      <c r="C47" t="s">
        <v>11</v>
      </c>
      <c r="D47">
        <v>26171</v>
      </c>
      <c r="E47">
        <v>10496</v>
      </c>
      <c r="F47">
        <v>632</v>
      </c>
      <c r="G47" t="s">
        <v>9</v>
      </c>
      <c r="H47" t="s">
        <v>10</v>
      </c>
      <c r="I47" t="str">
        <f>IF(Table1[[#This Row],[Income]]&lt;=30000, "Low Income", IF(Table1[[#This Row],[Income]]&lt;=60000,"Medium Income","High Income"))</f>
        <v>Low Income</v>
      </c>
      <c r="J47" s="1">
        <f>Table1[[#This Row],[LoanAmount]]/Table1[[#This Row],[Income]]</f>
        <v>0.40105460242252877</v>
      </c>
    </row>
    <row r="48" spans="1:10" x14ac:dyDescent="0.3">
      <c r="A48">
        <v>58</v>
      </c>
      <c r="B48">
        <v>54</v>
      </c>
      <c r="C48" t="s">
        <v>11</v>
      </c>
      <c r="D48">
        <v>74141</v>
      </c>
      <c r="E48">
        <v>4300</v>
      </c>
      <c r="F48">
        <v>561</v>
      </c>
      <c r="G48" t="s">
        <v>9</v>
      </c>
      <c r="H48" t="s">
        <v>10</v>
      </c>
      <c r="I48" t="str">
        <f>IF(Table1[[#This Row],[Income]]&lt;=30000, "Low Income", IF(Table1[[#This Row],[Income]]&lt;=60000,"Medium Income","High Income"))</f>
        <v>High Income</v>
      </c>
      <c r="J48" s="1">
        <f>Table1[[#This Row],[LoanAmount]]/Table1[[#This Row],[Income]]</f>
        <v>5.799759916915067E-2</v>
      </c>
    </row>
    <row r="49" spans="1:10" x14ac:dyDescent="0.3">
      <c r="A49">
        <v>59</v>
      </c>
      <c r="B49">
        <v>30</v>
      </c>
      <c r="C49" t="s">
        <v>8</v>
      </c>
      <c r="D49">
        <v>60350</v>
      </c>
      <c r="E49">
        <v>9553</v>
      </c>
      <c r="F49">
        <v>820</v>
      </c>
      <c r="G49" t="s">
        <v>12</v>
      </c>
      <c r="H49" t="s">
        <v>14</v>
      </c>
      <c r="I49" t="str">
        <f>IF(Table1[[#This Row],[Income]]&lt;=30000, "Low Income", IF(Table1[[#This Row],[Income]]&lt;=60000,"Medium Income","High Income"))</f>
        <v>High Income</v>
      </c>
      <c r="J49" s="1">
        <f>Table1[[#This Row],[LoanAmount]]/Table1[[#This Row],[Income]]</f>
        <v>0.15829328914664456</v>
      </c>
    </row>
    <row r="50" spans="1:10" x14ac:dyDescent="0.3">
      <c r="A50">
        <v>60</v>
      </c>
      <c r="B50">
        <v>56</v>
      </c>
      <c r="C50" t="s">
        <v>8</v>
      </c>
      <c r="D50">
        <v>27201</v>
      </c>
      <c r="E50">
        <v>4727</v>
      </c>
      <c r="F50">
        <v>533</v>
      </c>
      <c r="G50" t="s">
        <v>9</v>
      </c>
      <c r="H50" t="s">
        <v>10</v>
      </c>
      <c r="I50" t="str">
        <f>IF(Table1[[#This Row],[Income]]&lt;=30000, "Low Income", IF(Table1[[#This Row],[Income]]&lt;=60000,"Medium Income","High Income"))</f>
        <v>Low Income</v>
      </c>
      <c r="J50" s="1">
        <f>Table1[[#This Row],[LoanAmount]]/Table1[[#This Row],[Income]]</f>
        <v>0.17378037572148083</v>
      </c>
    </row>
    <row r="51" spans="1:10" x14ac:dyDescent="0.3">
      <c r="A51">
        <v>62</v>
      </c>
      <c r="B51">
        <v>51</v>
      </c>
      <c r="C51" t="s">
        <v>11</v>
      </c>
      <c r="D51">
        <v>32778</v>
      </c>
      <c r="E51">
        <v>17832</v>
      </c>
      <c r="F51">
        <v>623</v>
      </c>
      <c r="G51" t="s">
        <v>9</v>
      </c>
      <c r="H51" t="s">
        <v>10</v>
      </c>
      <c r="I51" t="str">
        <f>IF(Table1[[#This Row],[Income]]&lt;=30000, "Low Income", IF(Table1[[#This Row],[Income]]&lt;=60000,"Medium Income","High Income"))</f>
        <v>Medium Income</v>
      </c>
      <c r="J51" s="1">
        <f>Table1[[#This Row],[LoanAmount]]/Table1[[#This Row],[Income]]</f>
        <v>0.54402343034962475</v>
      </c>
    </row>
    <row r="52" spans="1:10" x14ac:dyDescent="0.3">
      <c r="A52">
        <v>63</v>
      </c>
      <c r="B52">
        <v>35</v>
      </c>
      <c r="C52" t="s">
        <v>8</v>
      </c>
      <c r="D52">
        <v>60241</v>
      </c>
      <c r="E52">
        <v>7019</v>
      </c>
      <c r="F52">
        <v>552</v>
      </c>
      <c r="G52" t="s">
        <v>9</v>
      </c>
      <c r="H52" t="s">
        <v>10</v>
      </c>
      <c r="I52" t="str">
        <f>IF(Table1[[#This Row],[Income]]&lt;=30000, "Low Income", IF(Table1[[#This Row],[Income]]&lt;=60000,"Medium Income","High Income"))</f>
        <v>High Income</v>
      </c>
      <c r="J52" s="1">
        <f>Table1[[#This Row],[LoanAmount]]/Table1[[#This Row],[Income]]</f>
        <v>0.11651533009080195</v>
      </c>
    </row>
    <row r="53" spans="1:10" x14ac:dyDescent="0.3">
      <c r="A53">
        <v>64</v>
      </c>
      <c r="B53">
        <v>28</v>
      </c>
      <c r="C53" t="s">
        <v>11</v>
      </c>
      <c r="D53">
        <v>57229</v>
      </c>
      <c r="E53">
        <v>16463</v>
      </c>
      <c r="F53">
        <v>432</v>
      </c>
      <c r="G53" t="s">
        <v>9</v>
      </c>
      <c r="H53" t="s">
        <v>10</v>
      </c>
      <c r="I53" t="str">
        <f>IF(Table1[[#This Row],[Income]]&lt;=30000, "Low Income", IF(Table1[[#This Row],[Income]]&lt;=60000,"Medium Income","High Income"))</f>
        <v>Medium Income</v>
      </c>
      <c r="J53" s="1">
        <f>Table1[[#This Row],[LoanAmount]]/Table1[[#This Row],[Income]]</f>
        <v>0.28766883922486852</v>
      </c>
    </row>
    <row r="54" spans="1:10" x14ac:dyDescent="0.3">
      <c r="A54">
        <v>65</v>
      </c>
      <c r="B54">
        <v>34</v>
      </c>
      <c r="C54" t="s">
        <v>8</v>
      </c>
      <c r="D54">
        <v>36116</v>
      </c>
      <c r="E54">
        <v>11047</v>
      </c>
      <c r="F54">
        <v>454</v>
      </c>
      <c r="G54" t="s">
        <v>9</v>
      </c>
      <c r="H54" t="s">
        <v>10</v>
      </c>
      <c r="I54" t="str">
        <f>IF(Table1[[#This Row],[Income]]&lt;=30000, "Low Income", IF(Table1[[#This Row],[Income]]&lt;=60000,"Medium Income","High Income"))</f>
        <v>Medium Income</v>
      </c>
      <c r="J54" s="1">
        <f>Table1[[#This Row],[LoanAmount]]/Table1[[#This Row],[Income]]</f>
        <v>0.30587551223834314</v>
      </c>
    </row>
    <row r="55" spans="1:10" x14ac:dyDescent="0.3">
      <c r="A55">
        <v>66</v>
      </c>
      <c r="B55">
        <v>43</v>
      </c>
      <c r="C55" t="s">
        <v>11</v>
      </c>
      <c r="D55">
        <v>77731</v>
      </c>
      <c r="E55">
        <v>12754</v>
      </c>
      <c r="F55">
        <v>841</v>
      </c>
      <c r="G55" t="s">
        <v>12</v>
      </c>
      <c r="H55" t="s">
        <v>14</v>
      </c>
      <c r="I55" t="str">
        <f>IF(Table1[[#This Row],[Income]]&lt;=30000, "Low Income", IF(Table1[[#This Row],[Income]]&lt;=60000,"Medium Income","High Income"))</f>
        <v>High Income</v>
      </c>
      <c r="J55" s="1">
        <f>Table1[[#This Row],[LoanAmount]]/Table1[[#This Row],[Income]]</f>
        <v>0.16407868160708083</v>
      </c>
    </row>
    <row r="56" spans="1:10" x14ac:dyDescent="0.3">
      <c r="A56">
        <v>67</v>
      </c>
      <c r="B56">
        <v>41</v>
      </c>
      <c r="C56" t="s">
        <v>11</v>
      </c>
      <c r="D56">
        <v>48500</v>
      </c>
      <c r="E56">
        <v>3520</v>
      </c>
      <c r="F56">
        <v>406</v>
      </c>
      <c r="G56" t="s">
        <v>9</v>
      </c>
      <c r="H56" t="s">
        <v>10</v>
      </c>
      <c r="I56" t="str">
        <f>IF(Table1[[#This Row],[Income]]&lt;=30000, "Low Income", IF(Table1[[#This Row],[Income]]&lt;=60000,"Medium Income","High Income"))</f>
        <v>Medium Income</v>
      </c>
      <c r="J56" s="1">
        <f>Table1[[#This Row],[LoanAmount]]/Table1[[#This Row],[Income]]</f>
        <v>7.2577319587628863E-2</v>
      </c>
    </row>
    <row r="57" spans="1:10" x14ac:dyDescent="0.3">
      <c r="A57">
        <v>68</v>
      </c>
      <c r="B57">
        <v>36</v>
      </c>
      <c r="C57" t="s">
        <v>8</v>
      </c>
      <c r="D57">
        <v>63364</v>
      </c>
      <c r="E57">
        <v>4081</v>
      </c>
      <c r="F57">
        <v>643</v>
      </c>
      <c r="G57" t="s">
        <v>9</v>
      </c>
      <c r="H57" t="s">
        <v>10</v>
      </c>
      <c r="I57" t="str">
        <f>IF(Table1[[#This Row],[Income]]&lt;=30000, "Low Income", IF(Table1[[#This Row],[Income]]&lt;=60000,"Medium Income","High Income"))</f>
        <v>High Income</v>
      </c>
      <c r="J57" s="1">
        <f>Table1[[#This Row],[LoanAmount]]/Table1[[#This Row],[Income]]</f>
        <v>6.4405656208572692E-2</v>
      </c>
    </row>
    <row r="58" spans="1:10" x14ac:dyDescent="0.3">
      <c r="A58">
        <v>69</v>
      </c>
      <c r="B58">
        <v>38</v>
      </c>
      <c r="C58" t="s">
        <v>8</v>
      </c>
      <c r="D58">
        <v>48297</v>
      </c>
      <c r="E58">
        <v>2428</v>
      </c>
      <c r="F58">
        <v>712</v>
      </c>
      <c r="G58" t="s">
        <v>12</v>
      </c>
      <c r="H58" t="s">
        <v>13</v>
      </c>
      <c r="I58" t="str">
        <f>IF(Table1[[#This Row],[Income]]&lt;=30000, "Low Income", IF(Table1[[#This Row],[Income]]&lt;=60000,"Medium Income","High Income"))</f>
        <v>Medium Income</v>
      </c>
      <c r="J58" s="1">
        <f>Table1[[#This Row],[LoanAmount]]/Table1[[#This Row],[Income]]</f>
        <v>5.0272273640184689E-2</v>
      </c>
    </row>
    <row r="59" spans="1:10" x14ac:dyDescent="0.3">
      <c r="A59">
        <v>70</v>
      </c>
      <c r="B59">
        <v>44</v>
      </c>
      <c r="C59" t="s">
        <v>8</v>
      </c>
      <c r="D59">
        <v>75967</v>
      </c>
      <c r="E59">
        <v>4967</v>
      </c>
      <c r="F59">
        <v>525</v>
      </c>
      <c r="G59" t="s">
        <v>9</v>
      </c>
      <c r="H59" t="s">
        <v>10</v>
      </c>
      <c r="I59" t="str">
        <f>IF(Table1[[#This Row],[Income]]&lt;=30000, "Low Income", IF(Table1[[#This Row],[Income]]&lt;=60000,"Medium Income","High Income"))</f>
        <v>High Income</v>
      </c>
      <c r="J59" s="1">
        <f>Table1[[#This Row],[LoanAmount]]/Table1[[#This Row],[Income]]</f>
        <v>6.5383653428462363E-2</v>
      </c>
    </row>
    <row r="60" spans="1:10" x14ac:dyDescent="0.3">
      <c r="A60">
        <v>71</v>
      </c>
      <c r="B60">
        <v>46</v>
      </c>
      <c r="C60" t="s">
        <v>8</v>
      </c>
      <c r="D60">
        <v>78508</v>
      </c>
      <c r="E60">
        <v>7445</v>
      </c>
      <c r="F60">
        <v>411</v>
      </c>
      <c r="G60" t="s">
        <v>9</v>
      </c>
      <c r="H60" t="s">
        <v>10</v>
      </c>
      <c r="I60" t="str">
        <f>IF(Table1[[#This Row],[Income]]&lt;=30000, "Low Income", IF(Table1[[#This Row],[Income]]&lt;=60000,"Medium Income","High Income"))</f>
        <v>High Income</v>
      </c>
      <c r="J60" s="1">
        <f>Table1[[#This Row],[LoanAmount]]/Table1[[#This Row],[Income]]</f>
        <v>9.4831100015285066E-2</v>
      </c>
    </row>
    <row r="61" spans="1:10" x14ac:dyDescent="0.3">
      <c r="A61">
        <v>73</v>
      </c>
      <c r="B61">
        <v>49</v>
      </c>
      <c r="C61" t="s">
        <v>8</v>
      </c>
      <c r="D61">
        <v>72056</v>
      </c>
      <c r="E61">
        <v>15042</v>
      </c>
      <c r="F61">
        <v>607</v>
      </c>
      <c r="G61" t="s">
        <v>9</v>
      </c>
      <c r="H61" t="s">
        <v>10</v>
      </c>
      <c r="I61" t="str">
        <f>IF(Table1[[#This Row],[Income]]&lt;=30000, "Low Income", IF(Table1[[#This Row],[Income]]&lt;=60000,"Medium Income","High Income"))</f>
        <v>High Income</v>
      </c>
      <c r="J61" s="1">
        <f>Table1[[#This Row],[LoanAmount]]/Table1[[#This Row],[Income]]</f>
        <v>0.2087543022093927</v>
      </c>
    </row>
    <row r="62" spans="1:10" x14ac:dyDescent="0.3">
      <c r="A62">
        <v>74</v>
      </c>
      <c r="B62">
        <v>35</v>
      </c>
      <c r="C62" t="s">
        <v>8</v>
      </c>
      <c r="D62">
        <v>42490</v>
      </c>
      <c r="E62">
        <v>12329</v>
      </c>
      <c r="F62">
        <v>442</v>
      </c>
      <c r="G62" t="s">
        <v>9</v>
      </c>
      <c r="H62" t="s">
        <v>10</v>
      </c>
      <c r="I62" t="str">
        <f>IF(Table1[[#This Row],[Income]]&lt;=30000, "Low Income", IF(Table1[[#This Row],[Income]]&lt;=60000,"Medium Income","High Income"))</f>
        <v>Medium Income</v>
      </c>
      <c r="J62" s="1">
        <f>Table1[[#This Row],[LoanAmount]]/Table1[[#This Row],[Income]]</f>
        <v>0.29016239115085901</v>
      </c>
    </row>
    <row r="63" spans="1:10" x14ac:dyDescent="0.3">
      <c r="A63">
        <v>75</v>
      </c>
      <c r="B63">
        <v>21</v>
      </c>
      <c r="C63" t="s">
        <v>8</v>
      </c>
      <c r="D63">
        <v>77233</v>
      </c>
      <c r="E63">
        <v>3159</v>
      </c>
      <c r="F63">
        <v>772</v>
      </c>
      <c r="G63" t="s">
        <v>12</v>
      </c>
      <c r="H63" t="s">
        <v>14</v>
      </c>
      <c r="I63" t="str">
        <f>IF(Table1[[#This Row],[Income]]&lt;=30000, "Low Income", IF(Table1[[#This Row],[Income]]&lt;=60000,"Medium Income","High Income"))</f>
        <v>High Income</v>
      </c>
      <c r="J63" s="1">
        <f>Table1[[#This Row],[LoanAmount]]/Table1[[#This Row],[Income]]</f>
        <v>4.0902205015990574E-2</v>
      </c>
    </row>
    <row r="64" spans="1:10" x14ac:dyDescent="0.3">
      <c r="A64">
        <v>77</v>
      </c>
      <c r="B64">
        <v>27</v>
      </c>
      <c r="C64" t="s">
        <v>11</v>
      </c>
      <c r="D64">
        <v>41723</v>
      </c>
      <c r="E64">
        <v>19931</v>
      </c>
      <c r="F64">
        <v>627</v>
      </c>
      <c r="G64" t="s">
        <v>9</v>
      </c>
      <c r="H64" t="s">
        <v>10</v>
      </c>
      <c r="I64" t="str">
        <f>IF(Table1[[#This Row],[Income]]&lt;=30000, "Low Income", IF(Table1[[#This Row],[Income]]&lt;=60000,"Medium Income","High Income"))</f>
        <v>Medium Income</v>
      </c>
      <c r="J64" s="1">
        <f>Table1[[#This Row],[LoanAmount]]/Table1[[#This Row],[Income]]</f>
        <v>0.47769815209836303</v>
      </c>
    </row>
    <row r="65" spans="1:10" x14ac:dyDescent="0.3">
      <c r="A65">
        <v>78</v>
      </c>
      <c r="B65">
        <v>29</v>
      </c>
      <c r="C65" t="s">
        <v>8</v>
      </c>
      <c r="D65">
        <v>38279</v>
      </c>
      <c r="E65">
        <v>15933</v>
      </c>
      <c r="F65">
        <v>510</v>
      </c>
      <c r="G65" t="s">
        <v>9</v>
      </c>
      <c r="H65" t="s">
        <v>10</v>
      </c>
      <c r="I65" t="str">
        <f>IF(Table1[[#This Row],[Income]]&lt;=30000, "Low Income", IF(Table1[[#This Row],[Income]]&lt;=60000,"Medium Income","High Income"))</f>
        <v>Medium Income</v>
      </c>
      <c r="J65" s="1">
        <f>Table1[[#This Row],[LoanAmount]]/Table1[[#This Row],[Income]]</f>
        <v>0.41623344392486744</v>
      </c>
    </row>
    <row r="66" spans="1:10" x14ac:dyDescent="0.3">
      <c r="A66">
        <v>79</v>
      </c>
      <c r="B66">
        <v>44</v>
      </c>
      <c r="C66" t="s">
        <v>11</v>
      </c>
      <c r="D66">
        <v>27765</v>
      </c>
      <c r="E66">
        <v>11473</v>
      </c>
      <c r="F66">
        <v>706</v>
      </c>
      <c r="G66" t="s">
        <v>9</v>
      </c>
      <c r="H66" t="s">
        <v>13</v>
      </c>
      <c r="I66" t="str">
        <f>IF(Table1[[#This Row],[Income]]&lt;=30000, "Low Income", IF(Table1[[#This Row],[Income]]&lt;=60000,"Medium Income","High Income"))</f>
        <v>Low Income</v>
      </c>
      <c r="J66" s="1">
        <f>Table1[[#This Row],[LoanAmount]]/Table1[[#This Row],[Income]]</f>
        <v>0.41321808031694579</v>
      </c>
    </row>
    <row r="67" spans="1:10" x14ac:dyDescent="0.3">
      <c r="A67">
        <v>80</v>
      </c>
      <c r="B67">
        <v>21</v>
      </c>
      <c r="C67" t="s">
        <v>8</v>
      </c>
      <c r="D67">
        <v>61678</v>
      </c>
      <c r="E67">
        <v>11805</v>
      </c>
      <c r="F67">
        <v>559</v>
      </c>
      <c r="G67" t="s">
        <v>9</v>
      </c>
      <c r="H67" t="s">
        <v>10</v>
      </c>
      <c r="I67" t="str">
        <f>IF(Table1[[#This Row],[Income]]&lt;=30000, "Low Income", IF(Table1[[#This Row],[Income]]&lt;=60000,"Medium Income","High Income"))</f>
        <v>High Income</v>
      </c>
      <c r="J67" s="1">
        <f>Table1[[#This Row],[LoanAmount]]/Table1[[#This Row],[Income]]</f>
        <v>0.19139725672038652</v>
      </c>
    </row>
    <row r="68" spans="1:10" x14ac:dyDescent="0.3">
      <c r="A68">
        <v>81</v>
      </c>
      <c r="B68">
        <v>28</v>
      </c>
      <c r="C68" t="s">
        <v>11</v>
      </c>
      <c r="D68">
        <v>26561</v>
      </c>
      <c r="E68">
        <v>4083</v>
      </c>
      <c r="F68">
        <v>730</v>
      </c>
      <c r="G68" t="s">
        <v>12</v>
      </c>
      <c r="H68" t="s">
        <v>13</v>
      </c>
      <c r="I68" t="str">
        <f>IF(Table1[[#This Row],[Income]]&lt;=30000, "Low Income", IF(Table1[[#This Row],[Income]]&lt;=60000,"Medium Income","High Income"))</f>
        <v>Low Income</v>
      </c>
      <c r="J68" s="1">
        <f>Table1[[#This Row],[LoanAmount]]/Table1[[#This Row],[Income]]</f>
        <v>0.15372162192688529</v>
      </c>
    </row>
    <row r="69" spans="1:10" x14ac:dyDescent="0.3">
      <c r="A69">
        <v>82</v>
      </c>
      <c r="B69">
        <v>44</v>
      </c>
      <c r="C69" t="s">
        <v>11</v>
      </c>
      <c r="D69">
        <v>56899</v>
      </c>
      <c r="E69">
        <v>18421</v>
      </c>
      <c r="F69">
        <v>663</v>
      </c>
      <c r="G69" t="s">
        <v>9</v>
      </c>
      <c r="H69" t="s">
        <v>13</v>
      </c>
      <c r="I69" t="str">
        <f>IF(Table1[[#This Row],[Income]]&lt;=30000, "Low Income", IF(Table1[[#This Row],[Income]]&lt;=60000,"Medium Income","High Income"))</f>
        <v>Medium Income</v>
      </c>
      <c r="J69" s="1">
        <f>Table1[[#This Row],[LoanAmount]]/Table1[[#This Row],[Income]]</f>
        <v>0.32374909928118245</v>
      </c>
    </row>
    <row r="70" spans="1:10" x14ac:dyDescent="0.3">
      <c r="A70">
        <v>83</v>
      </c>
      <c r="B70">
        <v>31</v>
      </c>
      <c r="C70" t="s">
        <v>11</v>
      </c>
      <c r="D70">
        <v>15525</v>
      </c>
      <c r="E70">
        <v>14944</v>
      </c>
      <c r="F70">
        <v>624</v>
      </c>
      <c r="G70" t="s">
        <v>9</v>
      </c>
      <c r="H70" t="s">
        <v>10</v>
      </c>
      <c r="I70" t="str">
        <f>IF(Table1[[#This Row],[Income]]&lt;=30000, "Low Income", IF(Table1[[#This Row],[Income]]&lt;=60000,"Medium Income","High Income"))</f>
        <v>Low Income</v>
      </c>
      <c r="J70" s="1">
        <f>Table1[[#This Row],[LoanAmount]]/Table1[[#This Row],[Income]]</f>
        <v>0.96257648953301123</v>
      </c>
    </row>
    <row r="71" spans="1:10" x14ac:dyDescent="0.3">
      <c r="A71">
        <v>84</v>
      </c>
      <c r="B71">
        <v>37</v>
      </c>
      <c r="C71" t="s">
        <v>11</v>
      </c>
      <c r="D71">
        <v>37861</v>
      </c>
      <c r="E71">
        <v>8604</v>
      </c>
      <c r="F71">
        <v>616</v>
      </c>
      <c r="G71" t="s">
        <v>9</v>
      </c>
      <c r="H71" t="s">
        <v>10</v>
      </c>
      <c r="I71" t="str">
        <f>IF(Table1[[#This Row],[Income]]&lt;=30000, "Low Income", IF(Table1[[#This Row],[Income]]&lt;=60000,"Medium Income","High Income"))</f>
        <v>Medium Income</v>
      </c>
      <c r="J71" s="1">
        <f>Table1[[#This Row],[LoanAmount]]/Table1[[#This Row],[Income]]</f>
        <v>0.22725231768838647</v>
      </c>
    </row>
    <row r="72" spans="1:10" x14ac:dyDescent="0.3">
      <c r="A72">
        <v>87</v>
      </c>
      <c r="B72">
        <v>55</v>
      </c>
      <c r="C72" t="s">
        <v>8</v>
      </c>
      <c r="D72">
        <v>41916</v>
      </c>
      <c r="E72">
        <v>2778</v>
      </c>
      <c r="F72">
        <v>458</v>
      </c>
      <c r="G72" t="s">
        <v>9</v>
      </c>
      <c r="H72" t="s">
        <v>10</v>
      </c>
      <c r="I72" t="str">
        <f>IF(Table1[[#This Row],[Income]]&lt;=30000, "Low Income", IF(Table1[[#This Row],[Income]]&lt;=60000,"Medium Income","High Income"))</f>
        <v>Medium Income</v>
      </c>
      <c r="J72" s="1">
        <f>Table1[[#This Row],[LoanAmount]]/Table1[[#This Row],[Income]]</f>
        <v>6.6275407958774693E-2</v>
      </c>
    </row>
    <row r="73" spans="1:10" x14ac:dyDescent="0.3">
      <c r="A73">
        <v>88</v>
      </c>
      <c r="B73">
        <v>53</v>
      </c>
      <c r="C73" t="s">
        <v>11</v>
      </c>
      <c r="D73">
        <v>79324</v>
      </c>
      <c r="E73">
        <v>6110</v>
      </c>
      <c r="F73">
        <v>531</v>
      </c>
      <c r="G73" t="s">
        <v>9</v>
      </c>
      <c r="H73" t="s">
        <v>10</v>
      </c>
      <c r="I73" t="str">
        <f>IF(Table1[[#This Row],[Income]]&lt;=30000, "Low Income", IF(Table1[[#This Row],[Income]]&lt;=60000,"Medium Income","High Income"))</f>
        <v>High Income</v>
      </c>
      <c r="J73" s="1">
        <f>Table1[[#This Row],[LoanAmount]]/Table1[[#This Row],[Income]]</f>
        <v>7.7025868589581964E-2</v>
      </c>
    </row>
    <row r="74" spans="1:10" x14ac:dyDescent="0.3">
      <c r="A74">
        <v>89</v>
      </c>
      <c r="B74">
        <v>25</v>
      </c>
      <c r="C74" t="s">
        <v>8</v>
      </c>
      <c r="D74">
        <v>59965</v>
      </c>
      <c r="E74">
        <v>13087</v>
      </c>
      <c r="F74">
        <v>503</v>
      </c>
      <c r="G74" t="s">
        <v>9</v>
      </c>
      <c r="H74" t="s">
        <v>10</v>
      </c>
      <c r="I74" t="str">
        <f>IF(Table1[[#This Row],[Income]]&lt;=30000, "Low Income", IF(Table1[[#This Row],[Income]]&lt;=60000,"Medium Income","High Income"))</f>
        <v>Medium Income</v>
      </c>
      <c r="J74" s="1">
        <f>Table1[[#This Row],[LoanAmount]]/Table1[[#This Row],[Income]]</f>
        <v>0.21824397565246395</v>
      </c>
    </row>
    <row r="75" spans="1:10" x14ac:dyDescent="0.3">
      <c r="A75">
        <v>90</v>
      </c>
      <c r="B75">
        <v>59</v>
      </c>
      <c r="C75" t="s">
        <v>8</v>
      </c>
      <c r="D75">
        <v>75396</v>
      </c>
      <c r="E75">
        <v>18508</v>
      </c>
      <c r="F75">
        <v>594</v>
      </c>
      <c r="G75" t="s">
        <v>9</v>
      </c>
      <c r="H75" t="s">
        <v>10</v>
      </c>
      <c r="I75" t="str">
        <f>IF(Table1[[#This Row],[Income]]&lt;=30000, "Low Income", IF(Table1[[#This Row],[Income]]&lt;=60000,"Medium Income","High Income"))</f>
        <v>High Income</v>
      </c>
      <c r="J75" s="1">
        <f>Table1[[#This Row],[LoanAmount]]/Table1[[#This Row],[Income]]</f>
        <v>0.24547721364528621</v>
      </c>
    </row>
    <row r="76" spans="1:10" x14ac:dyDescent="0.3">
      <c r="A76">
        <v>91</v>
      </c>
      <c r="B76">
        <v>48</v>
      </c>
      <c r="C76" t="s">
        <v>8</v>
      </c>
      <c r="D76">
        <v>19648</v>
      </c>
      <c r="E76">
        <v>18081</v>
      </c>
      <c r="F76">
        <v>812</v>
      </c>
      <c r="G76" t="s">
        <v>9</v>
      </c>
      <c r="H76" t="s">
        <v>14</v>
      </c>
      <c r="I76" t="str">
        <f>IF(Table1[[#This Row],[Income]]&lt;=30000, "Low Income", IF(Table1[[#This Row],[Income]]&lt;=60000,"Medium Income","High Income"))</f>
        <v>Low Income</v>
      </c>
      <c r="J76" s="1">
        <f>Table1[[#This Row],[LoanAmount]]/Table1[[#This Row],[Income]]</f>
        <v>0.92024633550488599</v>
      </c>
    </row>
    <row r="77" spans="1:10" x14ac:dyDescent="0.3">
      <c r="A77">
        <v>92</v>
      </c>
      <c r="B77">
        <v>27</v>
      </c>
      <c r="C77" t="s">
        <v>11</v>
      </c>
      <c r="D77">
        <v>50133</v>
      </c>
      <c r="E77">
        <v>3179</v>
      </c>
      <c r="F77">
        <v>556</v>
      </c>
      <c r="G77" t="s">
        <v>9</v>
      </c>
      <c r="H77" t="s">
        <v>10</v>
      </c>
      <c r="I77" t="str">
        <f>IF(Table1[[#This Row],[Income]]&lt;=30000, "Low Income", IF(Table1[[#This Row],[Income]]&lt;=60000,"Medium Income","High Income"))</f>
        <v>Medium Income</v>
      </c>
      <c r="J77" s="1">
        <f>Table1[[#This Row],[LoanAmount]]/Table1[[#This Row],[Income]]</f>
        <v>6.3411325873177354E-2</v>
      </c>
    </row>
    <row r="78" spans="1:10" x14ac:dyDescent="0.3">
      <c r="A78">
        <v>93</v>
      </c>
      <c r="B78">
        <v>29</v>
      </c>
      <c r="C78" t="s">
        <v>11</v>
      </c>
      <c r="D78">
        <v>65677</v>
      </c>
      <c r="E78">
        <v>10596</v>
      </c>
      <c r="F78">
        <v>497</v>
      </c>
      <c r="G78" t="s">
        <v>9</v>
      </c>
      <c r="H78" t="s">
        <v>10</v>
      </c>
      <c r="I78" t="str">
        <f>IF(Table1[[#This Row],[Income]]&lt;=30000, "Low Income", IF(Table1[[#This Row],[Income]]&lt;=60000,"Medium Income","High Income"))</f>
        <v>High Income</v>
      </c>
      <c r="J78" s="1">
        <f>Table1[[#This Row],[LoanAmount]]/Table1[[#This Row],[Income]]</f>
        <v>0.16133501834736666</v>
      </c>
    </row>
    <row r="79" spans="1:10" x14ac:dyDescent="0.3">
      <c r="A79">
        <v>94</v>
      </c>
      <c r="B79">
        <v>28</v>
      </c>
      <c r="C79" t="s">
        <v>11</v>
      </c>
      <c r="D79">
        <v>45523</v>
      </c>
      <c r="E79">
        <v>6251</v>
      </c>
      <c r="F79">
        <v>625</v>
      </c>
      <c r="G79" t="s">
        <v>9</v>
      </c>
      <c r="H79" t="s">
        <v>10</v>
      </c>
      <c r="I79" t="str">
        <f>IF(Table1[[#This Row],[Income]]&lt;=30000, "Low Income", IF(Table1[[#This Row],[Income]]&lt;=60000,"Medium Income","High Income"))</f>
        <v>Medium Income</v>
      </c>
      <c r="J79" s="1">
        <f>Table1[[#This Row],[LoanAmount]]/Table1[[#This Row],[Income]]</f>
        <v>0.13731520330382443</v>
      </c>
    </row>
    <row r="80" spans="1:10" x14ac:dyDescent="0.3">
      <c r="A80">
        <v>95</v>
      </c>
      <c r="B80">
        <v>32</v>
      </c>
      <c r="C80" t="s">
        <v>8</v>
      </c>
      <c r="D80">
        <v>44052</v>
      </c>
      <c r="E80">
        <v>10235</v>
      </c>
      <c r="F80">
        <v>811</v>
      </c>
      <c r="G80" t="s">
        <v>12</v>
      </c>
      <c r="H80" t="s">
        <v>14</v>
      </c>
      <c r="I80" t="str">
        <f>IF(Table1[[#This Row],[Income]]&lt;=30000, "Low Income", IF(Table1[[#This Row],[Income]]&lt;=60000,"Medium Income","High Income"))</f>
        <v>Medium Income</v>
      </c>
      <c r="J80" s="1">
        <f>Table1[[#This Row],[LoanAmount]]/Table1[[#This Row],[Income]]</f>
        <v>0.23233905384545536</v>
      </c>
    </row>
    <row r="81" spans="1:10" x14ac:dyDescent="0.3">
      <c r="A81">
        <v>96</v>
      </c>
      <c r="B81">
        <v>54</v>
      </c>
      <c r="C81" t="s">
        <v>8</v>
      </c>
      <c r="D81">
        <v>49414</v>
      </c>
      <c r="E81">
        <v>19313</v>
      </c>
      <c r="F81">
        <v>604</v>
      </c>
      <c r="G81" t="s">
        <v>9</v>
      </c>
      <c r="H81" t="s">
        <v>10</v>
      </c>
      <c r="I81" t="str">
        <f>IF(Table1[[#This Row],[Income]]&lt;=30000, "Low Income", IF(Table1[[#This Row],[Income]]&lt;=60000,"Medium Income","High Income"))</f>
        <v>Medium Income</v>
      </c>
      <c r="J81" s="1">
        <f>Table1[[#This Row],[LoanAmount]]/Table1[[#This Row],[Income]]</f>
        <v>0.39084065244667504</v>
      </c>
    </row>
    <row r="82" spans="1:10" x14ac:dyDescent="0.3">
      <c r="A82">
        <v>98</v>
      </c>
      <c r="B82">
        <v>43</v>
      </c>
      <c r="C82" t="s">
        <v>11</v>
      </c>
      <c r="D82">
        <v>19599</v>
      </c>
      <c r="E82">
        <v>2013</v>
      </c>
      <c r="F82">
        <v>523</v>
      </c>
      <c r="G82" t="s">
        <v>9</v>
      </c>
      <c r="H82" t="s">
        <v>10</v>
      </c>
      <c r="I82" t="str">
        <f>IF(Table1[[#This Row],[Income]]&lt;=30000, "Low Income", IF(Table1[[#This Row],[Income]]&lt;=60000,"Medium Income","High Income"))</f>
        <v>Low Income</v>
      </c>
      <c r="J82" s="1">
        <f>Table1[[#This Row],[LoanAmount]]/Table1[[#This Row],[Income]]</f>
        <v>0.10270932190417878</v>
      </c>
    </row>
    <row r="83" spans="1:10" x14ac:dyDescent="0.3">
      <c r="A83">
        <v>99</v>
      </c>
      <c r="B83">
        <v>44</v>
      </c>
      <c r="C83" t="s">
        <v>11</v>
      </c>
      <c r="D83">
        <v>50046</v>
      </c>
      <c r="E83">
        <v>17610</v>
      </c>
      <c r="F83">
        <v>827</v>
      </c>
      <c r="G83" t="s">
        <v>12</v>
      </c>
      <c r="H83" t="s">
        <v>14</v>
      </c>
      <c r="I83" t="str">
        <f>IF(Table1[[#This Row],[Income]]&lt;=30000, "Low Income", IF(Table1[[#This Row],[Income]]&lt;=60000,"Medium Income","High Income"))</f>
        <v>Medium Income</v>
      </c>
      <c r="J83" s="1">
        <f>Table1[[#This Row],[LoanAmount]]/Table1[[#This Row],[Income]]</f>
        <v>0.35187627382807818</v>
      </c>
    </row>
    <row r="84" spans="1:10" x14ac:dyDescent="0.3">
      <c r="A84">
        <v>100</v>
      </c>
      <c r="B84">
        <v>57</v>
      </c>
      <c r="C84" t="s">
        <v>8</v>
      </c>
      <c r="D84">
        <v>62064</v>
      </c>
      <c r="E84">
        <v>2828</v>
      </c>
      <c r="F84">
        <v>617</v>
      </c>
      <c r="G84" t="s">
        <v>9</v>
      </c>
      <c r="H84" t="s">
        <v>10</v>
      </c>
      <c r="I84" t="str">
        <f>IF(Table1[[#This Row],[Income]]&lt;=30000, "Low Income", IF(Table1[[#This Row],[Income]]&lt;=60000,"Medium Income","High Income"))</f>
        <v>High Income</v>
      </c>
      <c r="J84" s="1">
        <f>Table1[[#This Row],[LoanAmount]]/Table1[[#This Row],[Income]]</f>
        <v>4.5565867491621552E-2</v>
      </c>
    </row>
    <row r="85" spans="1:10" x14ac:dyDescent="0.3">
      <c r="A85">
        <v>101</v>
      </c>
      <c r="B85">
        <v>55</v>
      </c>
      <c r="C85" t="s">
        <v>11</v>
      </c>
      <c r="D85">
        <v>50923</v>
      </c>
      <c r="E85">
        <v>8909</v>
      </c>
      <c r="F85">
        <v>403</v>
      </c>
      <c r="G85" t="s">
        <v>9</v>
      </c>
      <c r="H85" t="s">
        <v>10</v>
      </c>
      <c r="I85" t="str">
        <f>IF(Table1[[#This Row],[Income]]&lt;=30000, "Low Income", IF(Table1[[#This Row],[Income]]&lt;=60000,"Medium Income","High Income"))</f>
        <v>Medium Income</v>
      </c>
      <c r="J85" s="1">
        <f>Table1[[#This Row],[LoanAmount]]/Table1[[#This Row],[Income]]</f>
        <v>0.17495041533295366</v>
      </c>
    </row>
    <row r="86" spans="1:10" x14ac:dyDescent="0.3">
      <c r="A86">
        <v>102</v>
      </c>
      <c r="B86">
        <v>42</v>
      </c>
      <c r="C86" t="s">
        <v>11</v>
      </c>
      <c r="D86">
        <v>48500</v>
      </c>
      <c r="E86">
        <v>6588</v>
      </c>
      <c r="F86">
        <v>489</v>
      </c>
      <c r="G86" t="s">
        <v>9</v>
      </c>
      <c r="H86" t="s">
        <v>10</v>
      </c>
      <c r="I86" t="str">
        <f>IF(Table1[[#This Row],[Income]]&lt;=30000, "Low Income", IF(Table1[[#This Row],[Income]]&lt;=60000,"Medium Income","High Income"))</f>
        <v>Medium Income</v>
      </c>
      <c r="J86" s="1">
        <f>Table1[[#This Row],[LoanAmount]]/Table1[[#This Row],[Income]]</f>
        <v>0.13583505154639175</v>
      </c>
    </row>
    <row r="87" spans="1:10" x14ac:dyDescent="0.3">
      <c r="A87">
        <v>103</v>
      </c>
      <c r="B87">
        <v>47</v>
      </c>
      <c r="C87" t="s">
        <v>11</v>
      </c>
      <c r="D87">
        <v>18814</v>
      </c>
      <c r="E87">
        <v>14109</v>
      </c>
      <c r="F87">
        <v>503</v>
      </c>
      <c r="G87" t="s">
        <v>9</v>
      </c>
      <c r="H87" t="s">
        <v>10</v>
      </c>
      <c r="I87" t="str">
        <f>IF(Table1[[#This Row],[Income]]&lt;=30000, "Low Income", IF(Table1[[#This Row],[Income]]&lt;=60000,"Medium Income","High Income"))</f>
        <v>Low Income</v>
      </c>
      <c r="J87" s="1">
        <f>Table1[[#This Row],[LoanAmount]]/Table1[[#This Row],[Income]]</f>
        <v>0.74992027213776979</v>
      </c>
    </row>
    <row r="88" spans="1:10" x14ac:dyDescent="0.3">
      <c r="A88">
        <v>104</v>
      </c>
      <c r="B88">
        <v>55</v>
      </c>
      <c r="C88" t="s">
        <v>11</v>
      </c>
      <c r="D88">
        <v>60893</v>
      </c>
      <c r="E88">
        <v>3023</v>
      </c>
      <c r="F88">
        <v>792</v>
      </c>
      <c r="G88" t="s">
        <v>12</v>
      </c>
      <c r="H88" t="s">
        <v>14</v>
      </c>
      <c r="I88" t="str">
        <f>IF(Table1[[#This Row],[Income]]&lt;=30000, "Low Income", IF(Table1[[#This Row],[Income]]&lt;=60000,"Medium Income","High Income"))</f>
        <v>High Income</v>
      </c>
      <c r="J88" s="1">
        <f>Table1[[#This Row],[LoanAmount]]/Table1[[#This Row],[Income]]</f>
        <v>4.9644458312121262E-2</v>
      </c>
    </row>
    <row r="89" spans="1:10" x14ac:dyDescent="0.3">
      <c r="A89">
        <v>105</v>
      </c>
      <c r="B89">
        <v>21</v>
      </c>
      <c r="C89" t="s">
        <v>8</v>
      </c>
      <c r="D89">
        <v>50984</v>
      </c>
      <c r="E89">
        <v>15537</v>
      </c>
      <c r="F89">
        <v>518</v>
      </c>
      <c r="G89" t="s">
        <v>9</v>
      </c>
      <c r="H89" t="s">
        <v>10</v>
      </c>
      <c r="I89" t="str">
        <f>IF(Table1[[#This Row],[Income]]&lt;=30000, "Low Income", IF(Table1[[#This Row],[Income]]&lt;=60000,"Medium Income","High Income"))</f>
        <v>Medium Income</v>
      </c>
      <c r="J89" s="1">
        <f>Table1[[#This Row],[LoanAmount]]/Table1[[#This Row],[Income]]</f>
        <v>0.30474266436529107</v>
      </c>
    </row>
    <row r="90" spans="1:10" x14ac:dyDescent="0.3">
      <c r="A90">
        <v>107</v>
      </c>
      <c r="B90">
        <v>57</v>
      </c>
      <c r="C90" t="s">
        <v>11</v>
      </c>
      <c r="D90">
        <v>76272</v>
      </c>
      <c r="E90">
        <v>2080</v>
      </c>
      <c r="F90">
        <v>711</v>
      </c>
      <c r="G90" t="s">
        <v>12</v>
      </c>
      <c r="H90" t="s">
        <v>13</v>
      </c>
      <c r="I90" t="str">
        <f>IF(Table1[[#This Row],[Income]]&lt;=30000, "Low Income", IF(Table1[[#This Row],[Income]]&lt;=60000,"Medium Income","High Income"))</f>
        <v>High Income</v>
      </c>
      <c r="J90" s="1">
        <f>Table1[[#This Row],[LoanAmount]]/Table1[[#This Row],[Income]]</f>
        <v>2.7270820222362071E-2</v>
      </c>
    </row>
    <row r="91" spans="1:10" x14ac:dyDescent="0.3">
      <c r="A91">
        <v>108</v>
      </c>
      <c r="B91">
        <v>34</v>
      </c>
      <c r="C91" t="s">
        <v>11</v>
      </c>
      <c r="D91">
        <v>41616</v>
      </c>
      <c r="E91">
        <v>6036</v>
      </c>
      <c r="F91">
        <v>495</v>
      </c>
      <c r="G91" t="s">
        <v>9</v>
      </c>
      <c r="H91" t="s">
        <v>10</v>
      </c>
      <c r="I91" t="str">
        <f>IF(Table1[[#This Row],[Income]]&lt;=30000, "Low Income", IF(Table1[[#This Row],[Income]]&lt;=60000,"Medium Income","High Income"))</f>
        <v>Medium Income</v>
      </c>
      <c r="J91" s="1">
        <f>Table1[[#This Row],[LoanAmount]]/Table1[[#This Row],[Income]]</f>
        <v>0.14504036908881199</v>
      </c>
    </row>
    <row r="92" spans="1:10" x14ac:dyDescent="0.3">
      <c r="A92">
        <v>109</v>
      </c>
      <c r="B92">
        <v>23</v>
      </c>
      <c r="C92" t="s">
        <v>11</v>
      </c>
      <c r="D92">
        <v>72371</v>
      </c>
      <c r="E92">
        <v>16379</v>
      </c>
      <c r="F92">
        <v>833</v>
      </c>
      <c r="G92" t="s">
        <v>12</v>
      </c>
      <c r="H92" t="s">
        <v>14</v>
      </c>
      <c r="I92" t="str">
        <f>IF(Table1[[#This Row],[Income]]&lt;=30000, "Low Income", IF(Table1[[#This Row],[Income]]&lt;=60000,"Medium Income","High Income"))</f>
        <v>High Income</v>
      </c>
      <c r="J92" s="1">
        <f>Table1[[#This Row],[LoanAmount]]/Table1[[#This Row],[Income]]</f>
        <v>0.22631993478050599</v>
      </c>
    </row>
    <row r="93" spans="1:10" x14ac:dyDescent="0.3">
      <c r="A93">
        <v>110</v>
      </c>
      <c r="B93">
        <v>21</v>
      </c>
      <c r="C93" t="s">
        <v>8</v>
      </c>
      <c r="D93">
        <v>17113</v>
      </c>
      <c r="E93">
        <v>11822</v>
      </c>
      <c r="F93">
        <v>730</v>
      </c>
      <c r="G93" t="s">
        <v>9</v>
      </c>
      <c r="H93" t="s">
        <v>13</v>
      </c>
      <c r="I93" t="str">
        <f>IF(Table1[[#This Row],[Income]]&lt;=30000, "Low Income", IF(Table1[[#This Row],[Income]]&lt;=60000,"Medium Income","High Income"))</f>
        <v>Low Income</v>
      </c>
      <c r="J93" s="1">
        <f>Table1[[#This Row],[LoanAmount]]/Table1[[#This Row],[Income]]</f>
        <v>0.69081984456261325</v>
      </c>
    </row>
    <row r="94" spans="1:10" x14ac:dyDescent="0.3">
      <c r="A94">
        <v>112</v>
      </c>
      <c r="B94">
        <v>46</v>
      </c>
      <c r="C94" t="s">
        <v>11</v>
      </c>
      <c r="D94">
        <v>73596</v>
      </c>
      <c r="E94">
        <v>4292</v>
      </c>
      <c r="F94">
        <v>687</v>
      </c>
      <c r="G94" t="s">
        <v>12</v>
      </c>
      <c r="H94" t="s">
        <v>13</v>
      </c>
      <c r="I94" t="str">
        <f>IF(Table1[[#This Row],[Income]]&lt;=30000, "Low Income", IF(Table1[[#This Row],[Income]]&lt;=60000,"Medium Income","High Income"))</f>
        <v>High Income</v>
      </c>
      <c r="J94" s="1">
        <f>Table1[[#This Row],[LoanAmount]]/Table1[[#This Row],[Income]]</f>
        <v>5.8318386868851567E-2</v>
      </c>
    </row>
    <row r="95" spans="1:10" x14ac:dyDescent="0.3">
      <c r="A95">
        <v>113</v>
      </c>
      <c r="B95">
        <v>34</v>
      </c>
      <c r="C95" t="s">
        <v>11</v>
      </c>
      <c r="D95">
        <v>68508</v>
      </c>
      <c r="E95">
        <v>4586</v>
      </c>
      <c r="F95">
        <v>427</v>
      </c>
      <c r="G95" t="s">
        <v>9</v>
      </c>
      <c r="H95" t="s">
        <v>10</v>
      </c>
      <c r="I95" t="str">
        <f>IF(Table1[[#This Row],[Income]]&lt;=30000, "Low Income", IF(Table1[[#This Row],[Income]]&lt;=60000,"Medium Income","High Income"))</f>
        <v>High Income</v>
      </c>
      <c r="J95" s="1">
        <f>Table1[[#This Row],[LoanAmount]]/Table1[[#This Row],[Income]]</f>
        <v>6.6941087172301045E-2</v>
      </c>
    </row>
    <row r="96" spans="1:10" x14ac:dyDescent="0.3">
      <c r="A96">
        <v>114</v>
      </c>
      <c r="B96">
        <v>59</v>
      </c>
      <c r="C96" t="s">
        <v>11</v>
      </c>
      <c r="D96">
        <v>58006</v>
      </c>
      <c r="E96">
        <v>17087</v>
      </c>
      <c r="F96">
        <v>677</v>
      </c>
      <c r="G96" t="s">
        <v>9</v>
      </c>
      <c r="H96" t="s">
        <v>13</v>
      </c>
      <c r="I96" t="str">
        <f>IF(Table1[[#This Row],[Income]]&lt;=30000, "Low Income", IF(Table1[[#This Row],[Income]]&lt;=60000,"Medium Income","High Income"))</f>
        <v>Medium Income</v>
      </c>
      <c r="J96" s="1">
        <f>Table1[[#This Row],[LoanAmount]]/Table1[[#This Row],[Income]]</f>
        <v>0.29457297520946107</v>
      </c>
    </row>
    <row r="97" spans="1:10" x14ac:dyDescent="0.3">
      <c r="A97">
        <v>115</v>
      </c>
      <c r="B97">
        <v>47</v>
      </c>
      <c r="C97" t="s">
        <v>11</v>
      </c>
      <c r="D97">
        <v>28760</v>
      </c>
      <c r="E97">
        <v>17100</v>
      </c>
      <c r="F97">
        <v>632</v>
      </c>
      <c r="G97" t="s">
        <v>9</v>
      </c>
      <c r="H97" t="s">
        <v>10</v>
      </c>
      <c r="I97" t="str">
        <f>IF(Table1[[#This Row],[Income]]&lt;=30000, "Low Income", IF(Table1[[#This Row],[Income]]&lt;=60000,"Medium Income","High Income"))</f>
        <v>Low Income</v>
      </c>
      <c r="J97" s="1">
        <f>Table1[[#This Row],[LoanAmount]]/Table1[[#This Row],[Income]]</f>
        <v>0.59457579972183583</v>
      </c>
    </row>
    <row r="98" spans="1:10" x14ac:dyDescent="0.3">
      <c r="A98">
        <v>116</v>
      </c>
      <c r="B98">
        <v>29</v>
      </c>
      <c r="C98" t="s">
        <v>11</v>
      </c>
      <c r="D98">
        <v>36927</v>
      </c>
      <c r="E98">
        <v>7643</v>
      </c>
      <c r="F98">
        <v>416</v>
      </c>
      <c r="G98" t="s">
        <v>9</v>
      </c>
      <c r="H98" t="s">
        <v>10</v>
      </c>
      <c r="I98" t="str">
        <f>IF(Table1[[#This Row],[Income]]&lt;=30000, "Low Income", IF(Table1[[#This Row],[Income]]&lt;=60000,"Medium Income","High Income"))</f>
        <v>Medium Income</v>
      </c>
      <c r="J98" s="1">
        <f>Table1[[#This Row],[LoanAmount]]/Table1[[#This Row],[Income]]</f>
        <v>0.20697592547458499</v>
      </c>
    </row>
    <row r="99" spans="1:10" x14ac:dyDescent="0.3">
      <c r="A99">
        <v>118</v>
      </c>
      <c r="B99">
        <v>35</v>
      </c>
      <c r="C99" t="s">
        <v>8</v>
      </c>
      <c r="D99">
        <v>76367</v>
      </c>
      <c r="E99">
        <v>12005</v>
      </c>
      <c r="F99">
        <v>489</v>
      </c>
      <c r="G99" t="s">
        <v>9</v>
      </c>
      <c r="H99" t="s">
        <v>10</v>
      </c>
      <c r="I99" t="str">
        <f>IF(Table1[[#This Row],[Income]]&lt;=30000, "Low Income", IF(Table1[[#This Row],[Income]]&lt;=60000,"Medium Income","High Income"))</f>
        <v>High Income</v>
      </c>
      <c r="J99" s="1">
        <f>Table1[[#This Row],[LoanAmount]]/Table1[[#This Row],[Income]]</f>
        <v>0.1572014089855566</v>
      </c>
    </row>
    <row r="100" spans="1:10" x14ac:dyDescent="0.3">
      <c r="A100">
        <v>119</v>
      </c>
      <c r="B100">
        <v>46</v>
      </c>
      <c r="C100" t="s">
        <v>11</v>
      </c>
      <c r="D100">
        <v>47419</v>
      </c>
      <c r="E100">
        <v>11775</v>
      </c>
      <c r="F100">
        <v>598</v>
      </c>
      <c r="G100" t="s">
        <v>9</v>
      </c>
      <c r="H100" t="s">
        <v>10</v>
      </c>
      <c r="I100" t="str">
        <f>IF(Table1[[#This Row],[Income]]&lt;=30000, "Low Income", IF(Table1[[#This Row],[Income]]&lt;=60000,"Medium Income","High Income"))</f>
        <v>Medium Income</v>
      </c>
      <c r="J100" s="1">
        <f>Table1[[#This Row],[LoanAmount]]/Table1[[#This Row],[Income]]</f>
        <v>0.24831818469389907</v>
      </c>
    </row>
    <row r="101" spans="1:10" x14ac:dyDescent="0.3">
      <c r="A101">
        <v>121</v>
      </c>
      <c r="B101">
        <v>52</v>
      </c>
      <c r="C101" t="s">
        <v>8</v>
      </c>
      <c r="D101">
        <v>71214</v>
      </c>
      <c r="E101">
        <v>17029</v>
      </c>
      <c r="F101">
        <v>840</v>
      </c>
      <c r="G101" t="s">
        <v>12</v>
      </c>
      <c r="H101" t="s">
        <v>14</v>
      </c>
      <c r="I101" t="str">
        <f>IF(Table1[[#This Row],[Income]]&lt;=30000, "Low Income", IF(Table1[[#This Row],[Income]]&lt;=60000,"Medium Income","High Income"))</f>
        <v>High Income</v>
      </c>
      <c r="J101" s="1">
        <f>Table1[[#This Row],[LoanAmount]]/Table1[[#This Row],[Income]]</f>
        <v>0.23912432948577528</v>
      </c>
    </row>
    <row r="102" spans="1:10" x14ac:dyDescent="0.3">
      <c r="A102">
        <v>122</v>
      </c>
      <c r="B102">
        <v>59</v>
      </c>
      <c r="C102" t="s">
        <v>11</v>
      </c>
      <c r="D102">
        <v>51142</v>
      </c>
      <c r="E102">
        <v>17977</v>
      </c>
      <c r="F102">
        <v>425</v>
      </c>
      <c r="G102" t="s">
        <v>9</v>
      </c>
      <c r="H102" t="s">
        <v>10</v>
      </c>
      <c r="I102" t="str">
        <f>IF(Table1[[#This Row],[Income]]&lt;=30000, "Low Income", IF(Table1[[#This Row],[Income]]&lt;=60000,"Medium Income","High Income"))</f>
        <v>Medium Income</v>
      </c>
      <c r="J102" s="1">
        <f>Table1[[#This Row],[LoanAmount]]/Table1[[#This Row],[Income]]</f>
        <v>0.3515114778459974</v>
      </c>
    </row>
    <row r="103" spans="1:10" x14ac:dyDescent="0.3">
      <c r="A103">
        <v>123</v>
      </c>
      <c r="B103">
        <v>52</v>
      </c>
      <c r="C103" t="s">
        <v>8</v>
      </c>
      <c r="D103">
        <v>54198</v>
      </c>
      <c r="E103">
        <v>15226</v>
      </c>
      <c r="F103">
        <v>424</v>
      </c>
      <c r="G103" t="s">
        <v>9</v>
      </c>
      <c r="H103" t="s">
        <v>10</v>
      </c>
      <c r="I103" t="str">
        <f>IF(Table1[[#This Row],[Income]]&lt;=30000, "Low Income", IF(Table1[[#This Row],[Income]]&lt;=60000,"Medium Income","High Income"))</f>
        <v>Medium Income</v>
      </c>
      <c r="J103" s="1">
        <f>Table1[[#This Row],[LoanAmount]]/Table1[[#This Row],[Income]]</f>
        <v>0.28093287575187276</v>
      </c>
    </row>
    <row r="104" spans="1:10" x14ac:dyDescent="0.3">
      <c r="A104">
        <v>124</v>
      </c>
      <c r="B104">
        <v>24</v>
      </c>
      <c r="C104" t="s">
        <v>8</v>
      </c>
      <c r="D104">
        <v>67618</v>
      </c>
      <c r="E104">
        <v>12154</v>
      </c>
      <c r="F104">
        <v>793</v>
      </c>
      <c r="G104" t="s">
        <v>12</v>
      </c>
      <c r="H104" t="s">
        <v>14</v>
      </c>
      <c r="I104" t="str">
        <f>IF(Table1[[#This Row],[Income]]&lt;=30000, "Low Income", IF(Table1[[#This Row],[Income]]&lt;=60000,"Medium Income","High Income"))</f>
        <v>High Income</v>
      </c>
      <c r="J104" s="1">
        <f>Table1[[#This Row],[LoanAmount]]/Table1[[#This Row],[Income]]</f>
        <v>0.17974503830341035</v>
      </c>
    </row>
    <row r="105" spans="1:10" x14ac:dyDescent="0.3">
      <c r="A105">
        <v>125</v>
      </c>
      <c r="B105">
        <v>50</v>
      </c>
      <c r="C105" t="s">
        <v>8</v>
      </c>
      <c r="D105">
        <v>67233</v>
      </c>
      <c r="E105">
        <v>13080</v>
      </c>
      <c r="F105">
        <v>700</v>
      </c>
      <c r="G105" t="s">
        <v>12</v>
      </c>
      <c r="H105" t="s">
        <v>13</v>
      </c>
      <c r="I105" t="str">
        <f>IF(Table1[[#This Row],[Income]]&lt;=30000, "Low Income", IF(Table1[[#This Row],[Income]]&lt;=60000,"Medium Income","High Income"))</f>
        <v>High Income</v>
      </c>
      <c r="J105" s="1">
        <f>Table1[[#This Row],[LoanAmount]]/Table1[[#This Row],[Income]]</f>
        <v>0.19454732051224846</v>
      </c>
    </row>
    <row r="106" spans="1:10" x14ac:dyDescent="0.3">
      <c r="A106">
        <v>127</v>
      </c>
      <c r="B106">
        <v>43</v>
      </c>
      <c r="C106" t="s">
        <v>8</v>
      </c>
      <c r="D106">
        <v>48397</v>
      </c>
      <c r="E106">
        <v>6997</v>
      </c>
      <c r="F106">
        <v>666</v>
      </c>
      <c r="G106" t="s">
        <v>9</v>
      </c>
      <c r="H106" t="s">
        <v>13</v>
      </c>
      <c r="I106" t="str">
        <f>IF(Table1[[#This Row],[Income]]&lt;=30000, "Low Income", IF(Table1[[#This Row],[Income]]&lt;=60000,"Medium Income","High Income"))</f>
        <v>Medium Income</v>
      </c>
      <c r="J106" s="1">
        <f>Table1[[#This Row],[LoanAmount]]/Table1[[#This Row],[Income]]</f>
        <v>0.14457507696758062</v>
      </c>
    </row>
    <row r="107" spans="1:10" x14ac:dyDescent="0.3">
      <c r="A107">
        <v>128</v>
      </c>
      <c r="B107">
        <v>59</v>
      </c>
      <c r="C107" t="s">
        <v>8</v>
      </c>
      <c r="D107">
        <v>31653</v>
      </c>
      <c r="E107">
        <v>13693</v>
      </c>
      <c r="F107">
        <v>580</v>
      </c>
      <c r="G107" t="s">
        <v>9</v>
      </c>
      <c r="H107" t="s">
        <v>10</v>
      </c>
      <c r="I107" t="str">
        <f>IF(Table1[[#This Row],[Income]]&lt;=30000, "Low Income", IF(Table1[[#This Row],[Income]]&lt;=60000,"Medium Income","High Income"))</f>
        <v>Medium Income</v>
      </c>
      <c r="J107" s="1">
        <f>Table1[[#This Row],[LoanAmount]]/Table1[[#This Row],[Income]]</f>
        <v>0.43259722617129498</v>
      </c>
    </row>
    <row r="108" spans="1:10" x14ac:dyDescent="0.3">
      <c r="A108">
        <v>129</v>
      </c>
      <c r="B108">
        <v>35</v>
      </c>
      <c r="C108" t="s">
        <v>11</v>
      </c>
      <c r="D108">
        <v>25831</v>
      </c>
      <c r="E108">
        <v>18047</v>
      </c>
      <c r="F108">
        <v>759</v>
      </c>
      <c r="G108" t="s">
        <v>9</v>
      </c>
      <c r="H108" t="s">
        <v>14</v>
      </c>
      <c r="I108" t="str">
        <f>IF(Table1[[#This Row],[Income]]&lt;=30000, "Low Income", IF(Table1[[#This Row],[Income]]&lt;=60000,"Medium Income","High Income"))</f>
        <v>Low Income</v>
      </c>
      <c r="J108" s="1">
        <f>Table1[[#This Row],[LoanAmount]]/Table1[[#This Row],[Income]]</f>
        <v>0.69865665285896794</v>
      </c>
    </row>
    <row r="109" spans="1:10" x14ac:dyDescent="0.3">
      <c r="A109">
        <v>130</v>
      </c>
      <c r="B109">
        <v>49</v>
      </c>
      <c r="C109" t="s">
        <v>8</v>
      </c>
      <c r="D109">
        <v>74337</v>
      </c>
      <c r="E109">
        <v>10324</v>
      </c>
      <c r="F109">
        <v>467</v>
      </c>
      <c r="G109" t="s">
        <v>9</v>
      </c>
      <c r="H109" t="s">
        <v>10</v>
      </c>
      <c r="I109" t="str">
        <f>IF(Table1[[#This Row],[Income]]&lt;=30000, "Low Income", IF(Table1[[#This Row],[Income]]&lt;=60000,"Medium Income","High Income"))</f>
        <v>High Income</v>
      </c>
      <c r="J109" s="1">
        <f>Table1[[#This Row],[LoanAmount]]/Table1[[#This Row],[Income]]</f>
        <v>0.13888104174233559</v>
      </c>
    </row>
    <row r="110" spans="1:10" x14ac:dyDescent="0.3">
      <c r="A110">
        <v>131</v>
      </c>
      <c r="B110">
        <v>56</v>
      </c>
      <c r="C110" t="s">
        <v>8</v>
      </c>
      <c r="D110">
        <v>20724</v>
      </c>
      <c r="E110">
        <v>1541</v>
      </c>
      <c r="F110">
        <v>750</v>
      </c>
      <c r="G110" t="s">
        <v>9</v>
      </c>
      <c r="H110" t="s">
        <v>14</v>
      </c>
      <c r="I110" t="str">
        <f>IF(Table1[[#This Row],[Income]]&lt;=30000, "Low Income", IF(Table1[[#This Row],[Income]]&lt;=60000,"Medium Income","High Income"))</f>
        <v>Low Income</v>
      </c>
      <c r="J110" s="1">
        <f>Table1[[#This Row],[LoanAmount]]/Table1[[#This Row],[Income]]</f>
        <v>7.4358232001544108E-2</v>
      </c>
    </row>
    <row r="111" spans="1:10" x14ac:dyDescent="0.3">
      <c r="A111">
        <v>133</v>
      </c>
      <c r="B111">
        <v>52</v>
      </c>
      <c r="C111" t="s">
        <v>11</v>
      </c>
      <c r="D111">
        <v>48500</v>
      </c>
      <c r="E111">
        <v>14428</v>
      </c>
      <c r="F111">
        <v>720</v>
      </c>
      <c r="G111" t="s">
        <v>9</v>
      </c>
      <c r="H111" t="s">
        <v>13</v>
      </c>
      <c r="I111" t="str">
        <f>IF(Table1[[#This Row],[Income]]&lt;=30000, "Low Income", IF(Table1[[#This Row],[Income]]&lt;=60000,"Medium Income","High Income"))</f>
        <v>Medium Income</v>
      </c>
      <c r="J111" s="1">
        <f>Table1[[#This Row],[LoanAmount]]/Table1[[#This Row],[Income]]</f>
        <v>0.29748453608247422</v>
      </c>
    </row>
    <row r="112" spans="1:10" x14ac:dyDescent="0.3">
      <c r="A112">
        <v>134</v>
      </c>
      <c r="B112">
        <v>27</v>
      </c>
      <c r="C112" t="s">
        <v>8</v>
      </c>
      <c r="D112">
        <v>60917</v>
      </c>
      <c r="E112">
        <v>12166</v>
      </c>
      <c r="F112">
        <v>448</v>
      </c>
      <c r="G112" t="s">
        <v>9</v>
      </c>
      <c r="H112" t="s">
        <v>10</v>
      </c>
      <c r="I112" t="str">
        <f>IF(Table1[[#This Row],[Income]]&lt;=30000, "Low Income", IF(Table1[[#This Row],[Income]]&lt;=60000,"Medium Income","High Income"))</f>
        <v>High Income</v>
      </c>
      <c r="J112" s="1">
        <f>Table1[[#This Row],[LoanAmount]]/Table1[[#This Row],[Income]]</f>
        <v>0.19971436544806867</v>
      </c>
    </row>
    <row r="113" spans="1:10" x14ac:dyDescent="0.3">
      <c r="A113">
        <v>135</v>
      </c>
      <c r="B113">
        <v>42</v>
      </c>
      <c r="C113" t="s">
        <v>11</v>
      </c>
      <c r="D113">
        <v>34816</v>
      </c>
      <c r="E113">
        <v>18251</v>
      </c>
      <c r="F113">
        <v>574</v>
      </c>
      <c r="G113" t="s">
        <v>9</v>
      </c>
      <c r="H113" t="s">
        <v>10</v>
      </c>
      <c r="I113" t="str">
        <f>IF(Table1[[#This Row],[Income]]&lt;=30000, "Low Income", IF(Table1[[#This Row],[Income]]&lt;=60000,"Medium Income","High Income"))</f>
        <v>Medium Income</v>
      </c>
      <c r="J113" s="1">
        <f>Table1[[#This Row],[LoanAmount]]/Table1[[#This Row],[Income]]</f>
        <v>0.52421300551470584</v>
      </c>
    </row>
    <row r="114" spans="1:10" x14ac:dyDescent="0.3">
      <c r="A114">
        <v>136</v>
      </c>
      <c r="B114">
        <v>48</v>
      </c>
      <c r="C114" t="s">
        <v>8</v>
      </c>
      <c r="D114">
        <v>57240</v>
      </c>
      <c r="E114">
        <v>17063</v>
      </c>
      <c r="F114">
        <v>451</v>
      </c>
      <c r="G114" t="s">
        <v>9</v>
      </c>
      <c r="H114" t="s">
        <v>10</v>
      </c>
      <c r="I114" t="str">
        <f>IF(Table1[[#This Row],[Income]]&lt;=30000, "Low Income", IF(Table1[[#This Row],[Income]]&lt;=60000,"Medium Income","High Income"))</f>
        <v>Medium Income</v>
      </c>
      <c r="J114" s="1">
        <f>Table1[[#This Row],[LoanAmount]]/Table1[[#This Row],[Income]]</f>
        <v>0.29809573724668065</v>
      </c>
    </row>
    <row r="115" spans="1:10" x14ac:dyDescent="0.3">
      <c r="A115">
        <v>137</v>
      </c>
      <c r="B115">
        <v>22</v>
      </c>
      <c r="C115" t="s">
        <v>11</v>
      </c>
      <c r="D115">
        <v>21276</v>
      </c>
      <c r="E115">
        <v>11258</v>
      </c>
      <c r="F115">
        <v>501</v>
      </c>
      <c r="G115" t="s">
        <v>9</v>
      </c>
      <c r="H115" t="s">
        <v>10</v>
      </c>
      <c r="I115" t="str">
        <f>IF(Table1[[#This Row],[Income]]&lt;=30000, "Low Income", IF(Table1[[#This Row],[Income]]&lt;=60000,"Medium Income","High Income"))</f>
        <v>Low Income</v>
      </c>
      <c r="J115" s="1">
        <f>Table1[[#This Row],[LoanAmount]]/Table1[[#This Row],[Income]]</f>
        <v>0.52914081594284645</v>
      </c>
    </row>
    <row r="116" spans="1:10" x14ac:dyDescent="0.3">
      <c r="A116">
        <v>138</v>
      </c>
      <c r="B116">
        <v>26</v>
      </c>
      <c r="C116" t="s">
        <v>11</v>
      </c>
      <c r="D116">
        <v>48500</v>
      </c>
      <c r="E116">
        <v>17044</v>
      </c>
      <c r="F116">
        <v>615</v>
      </c>
      <c r="G116" t="s">
        <v>9</v>
      </c>
      <c r="H116" t="s">
        <v>10</v>
      </c>
      <c r="I116" t="str">
        <f>IF(Table1[[#This Row],[Income]]&lt;=30000, "Low Income", IF(Table1[[#This Row],[Income]]&lt;=60000,"Medium Income","High Income"))</f>
        <v>Medium Income</v>
      </c>
      <c r="J116" s="1">
        <f>Table1[[#This Row],[LoanAmount]]/Table1[[#This Row],[Income]]</f>
        <v>0.35142268041237112</v>
      </c>
    </row>
    <row r="117" spans="1:10" x14ac:dyDescent="0.3">
      <c r="A117">
        <v>139</v>
      </c>
      <c r="B117">
        <v>48</v>
      </c>
      <c r="C117" t="s">
        <v>8</v>
      </c>
      <c r="D117">
        <v>53663</v>
      </c>
      <c r="E117">
        <v>6469</v>
      </c>
      <c r="F117">
        <v>837</v>
      </c>
      <c r="G117" t="s">
        <v>12</v>
      </c>
      <c r="H117" t="s">
        <v>14</v>
      </c>
      <c r="I117" t="str">
        <f>IF(Table1[[#This Row],[Income]]&lt;=30000, "Low Income", IF(Table1[[#This Row],[Income]]&lt;=60000,"Medium Income","High Income"))</f>
        <v>Medium Income</v>
      </c>
      <c r="J117" s="1">
        <f>Table1[[#This Row],[LoanAmount]]/Table1[[#This Row],[Income]]</f>
        <v>0.12054860891116784</v>
      </c>
    </row>
    <row r="118" spans="1:10" x14ac:dyDescent="0.3">
      <c r="A118">
        <v>140</v>
      </c>
      <c r="B118">
        <v>48</v>
      </c>
      <c r="C118" t="s">
        <v>8</v>
      </c>
      <c r="D118">
        <v>28994</v>
      </c>
      <c r="E118">
        <v>7256</v>
      </c>
      <c r="F118">
        <v>587</v>
      </c>
      <c r="G118" t="s">
        <v>9</v>
      </c>
      <c r="H118" t="s">
        <v>10</v>
      </c>
      <c r="I118" t="str">
        <f>IF(Table1[[#This Row],[Income]]&lt;=30000, "Low Income", IF(Table1[[#This Row],[Income]]&lt;=60000,"Medium Income","High Income"))</f>
        <v>Low Income</v>
      </c>
      <c r="J118" s="1">
        <f>Table1[[#This Row],[LoanAmount]]/Table1[[#This Row],[Income]]</f>
        <v>0.25025867420845693</v>
      </c>
    </row>
    <row r="119" spans="1:10" x14ac:dyDescent="0.3">
      <c r="A119">
        <v>141</v>
      </c>
      <c r="B119">
        <v>40</v>
      </c>
      <c r="C119" t="s">
        <v>11</v>
      </c>
      <c r="D119">
        <v>38499</v>
      </c>
      <c r="E119">
        <v>11720</v>
      </c>
      <c r="F119">
        <v>456</v>
      </c>
      <c r="G119" t="s">
        <v>9</v>
      </c>
      <c r="H119" t="s">
        <v>10</v>
      </c>
      <c r="I119" t="str">
        <f>IF(Table1[[#This Row],[Income]]&lt;=30000, "Low Income", IF(Table1[[#This Row],[Income]]&lt;=60000,"Medium Income","High Income"))</f>
        <v>Medium Income</v>
      </c>
      <c r="J119" s="1">
        <f>Table1[[#This Row],[LoanAmount]]/Table1[[#This Row],[Income]]</f>
        <v>0.30442349151926024</v>
      </c>
    </row>
    <row r="120" spans="1:10" x14ac:dyDescent="0.3">
      <c r="A120">
        <v>142</v>
      </c>
      <c r="B120">
        <v>50</v>
      </c>
      <c r="C120" t="s">
        <v>8</v>
      </c>
      <c r="D120">
        <v>48500</v>
      </c>
      <c r="E120">
        <v>2169</v>
      </c>
      <c r="F120">
        <v>446</v>
      </c>
      <c r="G120" t="s">
        <v>9</v>
      </c>
      <c r="H120" t="s">
        <v>10</v>
      </c>
      <c r="I120" t="str">
        <f>IF(Table1[[#This Row],[Income]]&lt;=30000, "Low Income", IF(Table1[[#This Row],[Income]]&lt;=60000,"Medium Income","High Income"))</f>
        <v>Medium Income</v>
      </c>
      <c r="J120" s="1">
        <f>Table1[[#This Row],[LoanAmount]]/Table1[[#This Row],[Income]]</f>
        <v>4.472164948453608E-2</v>
      </c>
    </row>
    <row r="121" spans="1:10" x14ac:dyDescent="0.3">
      <c r="A121">
        <v>144</v>
      </c>
      <c r="B121">
        <v>48</v>
      </c>
      <c r="C121" t="s">
        <v>11</v>
      </c>
      <c r="D121">
        <v>31959</v>
      </c>
      <c r="E121">
        <v>2651</v>
      </c>
      <c r="F121">
        <v>573</v>
      </c>
      <c r="G121" t="s">
        <v>9</v>
      </c>
      <c r="H121" t="s">
        <v>10</v>
      </c>
      <c r="I121" t="str">
        <f>IF(Table1[[#This Row],[Income]]&lt;=30000, "Low Income", IF(Table1[[#This Row],[Income]]&lt;=60000,"Medium Income","High Income"))</f>
        <v>Medium Income</v>
      </c>
      <c r="J121" s="1">
        <f>Table1[[#This Row],[LoanAmount]]/Table1[[#This Row],[Income]]</f>
        <v>8.2950029725585905E-2</v>
      </c>
    </row>
    <row r="122" spans="1:10" x14ac:dyDescent="0.3">
      <c r="A122">
        <v>145</v>
      </c>
      <c r="B122">
        <v>45</v>
      </c>
      <c r="C122" t="s">
        <v>11</v>
      </c>
      <c r="D122">
        <v>71181</v>
      </c>
      <c r="E122">
        <v>18520</v>
      </c>
      <c r="F122">
        <v>641</v>
      </c>
      <c r="G122" t="s">
        <v>9</v>
      </c>
      <c r="H122" t="s">
        <v>10</v>
      </c>
      <c r="I122" t="str">
        <f>IF(Table1[[#This Row],[Income]]&lt;=30000, "Low Income", IF(Table1[[#This Row],[Income]]&lt;=60000,"Medium Income","High Income"))</f>
        <v>High Income</v>
      </c>
      <c r="J122" s="1">
        <f>Table1[[#This Row],[LoanAmount]]/Table1[[#This Row],[Income]]</f>
        <v>0.26018179008443265</v>
      </c>
    </row>
    <row r="123" spans="1:10" x14ac:dyDescent="0.3">
      <c r="A123">
        <v>147</v>
      </c>
      <c r="B123">
        <v>53</v>
      </c>
      <c r="C123" t="s">
        <v>11</v>
      </c>
      <c r="D123">
        <v>57267</v>
      </c>
      <c r="E123">
        <v>14258</v>
      </c>
      <c r="F123">
        <v>640</v>
      </c>
      <c r="G123" t="s">
        <v>9</v>
      </c>
      <c r="H123" t="s">
        <v>10</v>
      </c>
      <c r="I123" t="str">
        <f>IF(Table1[[#This Row],[Income]]&lt;=30000, "Low Income", IF(Table1[[#This Row],[Income]]&lt;=60000,"Medium Income","High Income"))</f>
        <v>Medium Income</v>
      </c>
      <c r="J123" s="1">
        <f>Table1[[#This Row],[LoanAmount]]/Table1[[#This Row],[Income]]</f>
        <v>0.24897410375958232</v>
      </c>
    </row>
    <row r="124" spans="1:10" x14ac:dyDescent="0.3">
      <c r="A124">
        <v>149</v>
      </c>
      <c r="B124">
        <v>47</v>
      </c>
      <c r="C124" t="s">
        <v>11</v>
      </c>
      <c r="D124">
        <v>50946</v>
      </c>
      <c r="E124">
        <v>2019</v>
      </c>
      <c r="F124">
        <v>404</v>
      </c>
      <c r="G124" t="s">
        <v>9</v>
      </c>
      <c r="H124" t="s">
        <v>10</v>
      </c>
      <c r="I124" t="str">
        <f>IF(Table1[[#This Row],[Income]]&lt;=30000, "Low Income", IF(Table1[[#This Row],[Income]]&lt;=60000,"Medium Income","High Income"))</f>
        <v>Medium Income</v>
      </c>
      <c r="J124" s="1">
        <f>Table1[[#This Row],[LoanAmount]]/Table1[[#This Row],[Income]]</f>
        <v>3.9630196678836417E-2</v>
      </c>
    </row>
    <row r="125" spans="1:10" x14ac:dyDescent="0.3">
      <c r="A125">
        <v>150</v>
      </c>
      <c r="B125">
        <v>33</v>
      </c>
      <c r="C125" t="s">
        <v>11</v>
      </c>
      <c r="D125">
        <v>70204</v>
      </c>
      <c r="E125">
        <v>11028</v>
      </c>
      <c r="F125">
        <v>483</v>
      </c>
      <c r="G125" t="s">
        <v>9</v>
      </c>
      <c r="H125" t="s">
        <v>10</v>
      </c>
      <c r="I125" t="str">
        <f>IF(Table1[[#This Row],[Income]]&lt;=30000, "Low Income", IF(Table1[[#This Row],[Income]]&lt;=60000,"Medium Income","High Income"))</f>
        <v>High Income</v>
      </c>
      <c r="J125" s="1">
        <f>Table1[[#This Row],[LoanAmount]]/Table1[[#This Row],[Income]]</f>
        <v>0.15708506637798417</v>
      </c>
    </row>
    <row r="126" spans="1:10" x14ac:dyDescent="0.3">
      <c r="A126">
        <v>151</v>
      </c>
      <c r="B126">
        <v>23</v>
      </c>
      <c r="C126" t="s">
        <v>8</v>
      </c>
      <c r="D126">
        <v>66886</v>
      </c>
      <c r="E126">
        <v>13448</v>
      </c>
      <c r="F126">
        <v>707</v>
      </c>
      <c r="G126" t="s">
        <v>12</v>
      </c>
      <c r="H126" t="s">
        <v>13</v>
      </c>
      <c r="I126" t="str">
        <f>IF(Table1[[#This Row],[Income]]&lt;=30000, "Low Income", IF(Table1[[#This Row],[Income]]&lt;=60000,"Medium Income","High Income"))</f>
        <v>High Income</v>
      </c>
      <c r="J126" s="1">
        <f>Table1[[#This Row],[LoanAmount]]/Table1[[#This Row],[Income]]</f>
        <v>0.20105851747749903</v>
      </c>
    </row>
    <row r="127" spans="1:10" x14ac:dyDescent="0.3">
      <c r="A127">
        <v>152</v>
      </c>
      <c r="B127">
        <v>59</v>
      </c>
      <c r="C127" t="s">
        <v>11</v>
      </c>
      <c r="D127">
        <v>21116</v>
      </c>
      <c r="E127">
        <v>13485</v>
      </c>
      <c r="F127">
        <v>760</v>
      </c>
      <c r="G127" t="s">
        <v>9</v>
      </c>
      <c r="H127" t="s">
        <v>14</v>
      </c>
      <c r="I127" t="str">
        <f>IF(Table1[[#This Row],[Income]]&lt;=30000, "Low Income", IF(Table1[[#This Row],[Income]]&lt;=60000,"Medium Income","High Income"))</f>
        <v>Low Income</v>
      </c>
      <c r="J127" s="1">
        <f>Table1[[#This Row],[LoanAmount]]/Table1[[#This Row],[Income]]</f>
        <v>0.63861526804319002</v>
      </c>
    </row>
    <row r="128" spans="1:10" x14ac:dyDescent="0.3">
      <c r="A128">
        <v>153</v>
      </c>
      <c r="B128">
        <v>26</v>
      </c>
      <c r="C128" t="s">
        <v>8</v>
      </c>
      <c r="D128">
        <v>30563</v>
      </c>
      <c r="E128">
        <v>2283</v>
      </c>
      <c r="F128">
        <v>647</v>
      </c>
      <c r="G128" t="s">
        <v>9</v>
      </c>
      <c r="H128" t="s">
        <v>10</v>
      </c>
      <c r="I128" t="str">
        <f>IF(Table1[[#This Row],[Income]]&lt;=30000, "Low Income", IF(Table1[[#This Row],[Income]]&lt;=60000,"Medium Income","High Income"))</f>
        <v>Medium Income</v>
      </c>
      <c r="J128" s="1">
        <f>Table1[[#This Row],[LoanAmount]]/Table1[[#This Row],[Income]]</f>
        <v>7.4698164447207407E-2</v>
      </c>
    </row>
    <row r="129" spans="1:10" x14ac:dyDescent="0.3">
      <c r="A129">
        <v>155</v>
      </c>
      <c r="B129">
        <v>47</v>
      </c>
      <c r="C129" t="s">
        <v>8</v>
      </c>
      <c r="D129">
        <v>41928</v>
      </c>
      <c r="E129">
        <v>19394</v>
      </c>
      <c r="F129">
        <v>560</v>
      </c>
      <c r="G129" t="s">
        <v>9</v>
      </c>
      <c r="H129" t="s">
        <v>10</v>
      </c>
      <c r="I129" t="str">
        <f>IF(Table1[[#This Row],[Income]]&lt;=30000, "Low Income", IF(Table1[[#This Row],[Income]]&lt;=60000,"Medium Income","High Income"))</f>
        <v>Medium Income</v>
      </c>
      <c r="J129" s="1">
        <f>Table1[[#This Row],[LoanAmount]]/Table1[[#This Row],[Income]]</f>
        <v>0.46255485594352225</v>
      </c>
    </row>
    <row r="130" spans="1:10" x14ac:dyDescent="0.3">
      <c r="A130">
        <v>156</v>
      </c>
      <c r="B130">
        <v>29</v>
      </c>
      <c r="C130" t="s">
        <v>11</v>
      </c>
      <c r="D130">
        <v>51336</v>
      </c>
      <c r="E130">
        <v>2733</v>
      </c>
      <c r="F130">
        <v>833</v>
      </c>
      <c r="G130" t="s">
        <v>12</v>
      </c>
      <c r="H130" t="s">
        <v>14</v>
      </c>
      <c r="I130" t="str">
        <f>IF(Table1[[#This Row],[Income]]&lt;=30000, "Low Income", IF(Table1[[#This Row],[Income]]&lt;=60000,"Medium Income","High Income"))</f>
        <v>Medium Income</v>
      </c>
      <c r="J130" s="1">
        <f>Table1[[#This Row],[LoanAmount]]/Table1[[#This Row],[Income]]</f>
        <v>5.323749415614773E-2</v>
      </c>
    </row>
    <row r="131" spans="1:10" x14ac:dyDescent="0.3">
      <c r="A131">
        <v>158</v>
      </c>
      <c r="B131">
        <v>53</v>
      </c>
      <c r="C131" t="s">
        <v>11</v>
      </c>
      <c r="D131">
        <v>41155</v>
      </c>
      <c r="E131">
        <v>19555</v>
      </c>
      <c r="F131">
        <v>810</v>
      </c>
      <c r="G131" t="s">
        <v>9</v>
      </c>
      <c r="H131" t="s">
        <v>14</v>
      </c>
      <c r="I131" t="str">
        <f>IF(Table1[[#This Row],[Income]]&lt;=30000, "Low Income", IF(Table1[[#This Row],[Income]]&lt;=60000,"Medium Income","High Income"))</f>
        <v>Medium Income</v>
      </c>
      <c r="J131" s="1">
        <f>Table1[[#This Row],[LoanAmount]]/Table1[[#This Row],[Income]]</f>
        <v>0.47515490219900375</v>
      </c>
    </row>
    <row r="132" spans="1:10" x14ac:dyDescent="0.3">
      <c r="A132">
        <v>159</v>
      </c>
      <c r="B132">
        <v>44</v>
      </c>
      <c r="C132" t="s">
        <v>8</v>
      </c>
      <c r="D132">
        <v>29135</v>
      </c>
      <c r="E132">
        <v>17230</v>
      </c>
      <c r="F132">
        <v>625</v>
      </c>
      <c r="G132" t="s">
        <v>9</v>
      </c>
      <c r="H132" t="s">
        <v>10</v>
      </c>
      <c r="I132" t="str">
        <f>IF(Table1[[#This Row],[Income]]&lt;=30000, "Low Income", IF(Table1[[#This Row],[Income]]&lt;=60000,"Medium Income","High Income"))</f>
        <v>Low Income</v>
      </c>
      <c r="J132" s="1">
        <f>Table1[[#This Row],[LoanAmount]]/Table1[[#This Row],[Income]]</f>
        <v>0.59138493221211597</v>
      </c>
    </row>
    <row r="133" spans="1:10" x14ac:dyDescent="0.3">
      <c r="A133">
        <v>160</v>
      </c>
      <c r="B133">
        <v>35</v>
      </c>
      <c r="C133" t="s">
        <v>11</v>
      </c>
      <c r="D133">
        <v>66355</v>
      </c>
      <c r="E133">
        <v>15472</v>
      </c>
      <c r="F133">
        <v>414</v>
      </c>
      <c r="G133" t="s">
        <v>9</v>
      </c>
      <c r="H133" t="s">
        <v>10</v>
      </c>
      <c r="I133" t="str">
        <f>IF(Table1[[#This Row],[Income]]&lt;=30000, "Low Income", IF(Table1[[#This Row],[Income]]&lt;=60000,"Medium Income","High Income"))</f>
        <v>High Income</v>
      </c>
      <c r="J133" s="1">
        <f>Table1[[#This Row],[LoanAmount]]/Table1[[#This Row],[Income]]</f>
        <v>0.23317007007761284</v>
      </c>
    </row>
    <row r="134" spans="1:10" x14ac:dyDescent="0.3">
      <c r="A134">
        <v>161</v>
      </c>
      <c r="B134">
        <v>52</v>
      </c>
      <c r="C134" t="s">
        <v>8</v>
      </c>
      <c r="D134">
        <v>32774</v>
      </c>
      <c r="E134">
        <v>13889</v>
      </c>
      <c r="F134">
        <v>623</v>
      </c>
      <c r="G134" t="s">
        <v>9</v>
      </c>
      <c r="H134" t="s">
        <v>10</v>
      </c>
      <c r="I134" t="str">
        <f>IF(Table1[[#This Row],[Income]]&lt;=30000, "Low Income", IF(Table1[[#This Row],[Income]]&lt;=60000,"Medium Income","High Income"))</f>
        <v>Medium Income</v>
      </c>
      <c r="J134" s="1">
        <f>Table1[[#This Row],[LoanAmount]]/Table1[[#This Row],[Income]]</f>
        <v>0.42378104595105875</v>
      </c>
    </row>
    <row r="135" spans="1:10" x14ac:dyDescent="0.3">
      <c r="A135">
        <v>162</v>
      </c>
      <c r="B135">
        <v>52</v>
      </c>
      <c r="C135" t="s">
        <v>11</v>
      </c>
      <c r="D135">
        <v>16742</v>
      </c>
      <c r="E135">
        <v>4471</v>
      </c>
      <c r="F135">
        <v>460</v>
      </c>
      <c r="G135" t="s">
        <v>9</v>
      </c>
      <c r="H135" t="s">
        <v>10</v>
      </c>
      <c r="I135" t="str">
        <f>IF(Table1[[#This Row],[Income]]&lt;=30000, "Low Income", IF(Table1[[#This Row],[Income]]&lt;=60000,"Medium Income","High Income"))</f>
        <v>Low Income</v>
      </c>
      <c r="J135" s="1">
        <f>Table1[[#This Row],[LoanAmount]]/Table1[[#This Row],[Income]]</f>
        <v>0.26705292079799309</v>
      </c>
    </row>
    <row r="136" spans="1:10" x14ac:dyDescent="0.3">
      <c r="A136">
        <v>163</v>
      </c>
      <c r="B136">
        <v>44</v>
      </c>
      <c r="C136" t="s">
        <v>8</v>
      </c>
      <c r="D136">
        <v>33309</v>
      </c>
      <c r="E136">
        <v>10028</v>
      </c>
      <c r="F136">
        <v>521</v>
      </c>
      <c r="G136" t="s">
        <v>9</v>
      </c>
      <c r="H136" t="s">
        <v>10</v>
      </c>
      <c r="I136" t="str">
        <f>IF(Table1[[#This Row],[Income]]&lt;=30000, "Low Income", IF(Table1[[#This Row],[Income]]&lt;=60000,"Medium Income","High Income"))</f>
        <v>Medium Income</v>
      </c>
      <c r="J136" s="1">
        <f>Table1[[#This Row],[LoanAmount]]/Table1[[#This Row],[Income]]</f>
        <v>0.30105977363475339</v>
      </c>
    </row>
    <row r="137" spans="1:10" x14ac:dyDescent="0.3">
      <c r="A137">
        <v>164</v>
      </c>
      <c r="B137">
        <v>32</v>
      </c>
      <c r="C137" t="s">
        <v>11</v>
      </c>
      <c r="D137">
        <v>15619</v>
      </c>
      <c r="E137">
        <v>9329</v>
      </c>
      <c r="F137">
        <v>676</v>
      </c>
      <c r="G137" t="s">
        <v>9</v>
      </c>
      <c r="H137" t="s">
        <v>13</v>
      </c>
      <c r="I137" t="str">
        <f>IF(Table1[[#This Row],[Income]]&lt;=30000, "Low Income", IF(Table1[[#This Row],[Income]]&lt;=60000,"Medium Income","High Income"))</f>
        <v>Low Income</v>
      </c>
      <c r="J137" s="1">
        <f>Table1[[#This Row],[LoanAmount]]/Table1[[#This Row],[Income]]</f>
        <v>0.59728535757730972</v>
      </c>
    </row>
    <row r="138" spans="1:10" x14ac:dyDescent="0.3">
      <c r="A138">
        <v>165</v>
      </c>
      <c r="B138">
        <v>59</v>
      </c>
      <c r="C138" t="s">
        <v>11</v>
      </c>
      <c r="D138">
        <v>32658</v>
      </c>
      <c r="E138">
        <v>3097</v>
      </c>
      <c r="F138">
        <v>445</v>
      </c>
      <c r="G138" t="s">
        <v>9</v>
      </c>
      <c r="H138" t="s">
        <v>10</v>
      </c>
      <c r="I138" t="str">
        <f>IF(Table1[[#This Row],[Income]]&lt;=30000, "Low Income", IF(Table1[[#This Row],[Income]]&lt;=60000,"Medium Income","High Income"))</f>
        <v>Medium Income</v>
      </c>
      <c r="J138" s="1">
        <f>Table1[[#This Row],[LoanAmount]]/Table1[[#This Row],[Income]]</f>
        <v>9.4831281768632494E-2</v>
      </c>
    </row>
    <row r="139" spans="1:10" x14ac:dyDescent="0.3">
      <c r="A139">
        <v>166</v>
      </c>
      <c r="B139">
        <v>22</v>
      </c>
      <c r="C139" t="s">
        <v>11</v>
      </c>
      <c r="D139">
        <v>65108</v>
      </c>
      <c r="E139">
        <v>15082</v>
      </c>
      <c r="F139">
        <v>789</v>
      </c>
      <c r="G139" t="s">
        <v>12</v>
      </c>
      <c r="H139" t="s">
        <v>14</v>
      </c>
      <c r="I139" t="str">
        <f>IF(Table1[[#This Row],[Income]]&lt;=30000, "Low Income", IF(Table1[[#This Row],[Income]]&lt;=60000,"Medium Income","High Income"))</f>
        <v>High Income</v>
      </c>
      <c r="J139" s="1">
        <f>Table1[[#This Row],[LoanAmount]]/Table1[[#This Row],[Income]]</f>
        <v>0.23164588069054495</v>
      </c>
    </row>
    <row r="140" spans="1:10" x14ac:dyDescent="0.3">
      <c r="A140">
        <v>167</v>
      </c>
      <c r="B140">
        <v>23</v>
      </c>
      <c r="C140" t="s">
        <v>8</v>
      </c>
      <c r="D140">
        <v>49707</v>
      </c>
      <c r="E140">
        <v>14930</v>
      </c>
      <c r="F140">
        <v>693</v>
      </c>
      <c r="G140" t="s">
        <v>12</v>
      </c>
      <c r="H140" t="s">
        <v>13</v>
      </c>
      <c r="I140" t="str">
        <f>IF(Table1[[#This Row],[Income]]&lt;=30000, "Low Income", IF(Table1[[#This Row],[Income]]&lt;=60000,"Medium Income","High Income"))</f>
        <v>Medium Income</v>
      </c>
      <c r="J140" s="1">
        <f>Table1[[#This Row],[LoanAmount]]/Table1[[#This Row],[Income]]</f>
        <v>0.30036011024604181</v>
      </c>
    </row>
    <row r="141" spans="1:10" x14ac:dyDescent="0.3">
      <c r="A141">
        <v>168</v>
      </c>
      <c r="B141">
        <v>57</v>
      </c>
      <c r="C141" t="s">
        <v>8</v>
      </c>
      <c r="D141">
        <v>35337</v>
      </c>
      <c r="E141">
        <v>11077</v>
      </c>
      <c r="F141">
        <v>461</v>
      </c>
      <c r="G141" t="s">
        <v>9</v>
      </c>
      <c r="H141" t="s">
        <v>10</v>
      </c>
      <c r="I141" t="str">
        <f>IF(Table1[[#This Row],[Income]]&lt;=30000, "Low Income", IF(Table1[[#This Row],[Income]]&lt;=60000,"Medium Income","High Income"))</f>
        <v>Medium Income</v>
      </c>
      <c r="J141" s="1">
        <f>Table1[[#This Row],[LoanAmount]]/Table1[[#This Row],[Income]]</f>
        <v>0.31346747035684974</v>
      </c>
    </row>
    <row r="142" spans="1:10" x14ac:dyDescent="0.3">
      <c r="A142">
        <v>169</v>
      </c>
      <c r="B142">
        <v>37</v>
      </c>
      <c r="C142" t="s">
        <v>11</v>
      </c>
      <c r="D142">
        <v>74725</v>
      </c>
      <c r="E142">
        <v>7397</v>
      </c>
      <c r="F142">
        <v>485</v>
      </c>
      <c r="G142" t="s">
        <v>9</v>
      </c>
      <c r="H142" t="s">
        <v>10</v>
      </c>
      <c r="I142" t="str">
        <f>IF(Table1[[#This Row],[Income]]&lt;=30000, "Low Income", IF(Table1[[#This Row],[Income]]&lt;=60000,"Medium Income","High Income"))</f>
        <v>High Income</v>
      </c>
      <c r="J142" s="1">
        <f>Table1[[#This Row],[LoanAmount]]/Table1[[#This Row],[Income]]</f>
        <v>9.8989628638340585E-2</v>
      </c>
    </row>
    <row r="143" spans="1:10" x14ac:dyDescent="0.3">
      <c r="A143">
        <v>170</v>
      </c>
      <c r="B143">
        <v>22</v>
      </c>
      <c r="C143" t="s">
        <v>11</v>
      </c>
      <c r="D143">
        <v>31001</v>
      </c>
      <c r="E143">
        <v>3757</v>
      </c>
      <c r="F143">
        <v>845</v>
      </c>
      <c r="G143" t="s">
        <v>12</v>
      </c>
      <c r="H143" t="s">
        <v>14</v>
      </c>
      <c r="I143" t="str">
        <f>IF(Table1[[#This Row],[Income]]&lt;=30000, "Low Income", IF(Table1[[#This Row],[Income]]&lt;=60000,"Medium Income","High Income"))</f>
        <v>Medium Income</v>
      </c>
      <c r="J143" s="1">
        <f>Table1[[#This Row],[LoanAmount]]/Table1[[#This Row],[Income]]</f>
        <v>0.12118963904390181</v>
      </c>
    </row>
    <row r="144" spans="1:10" x14ac:dyDescent="0.3">
      <c r="A144">
        <v>171</v>
      </c>
      <c r="B144">
        <v>22</v>
      </c>
      <c r="C144" t="s">
        <v>8</v>
      </c>
      <c r="D144">
        <v>15968</v>
      </c>
      <c r="E144">
        <v>19284</v>
      </c>
      <c r="F144">
        <v>609</v>
      </c>
      <c r="G144" t="s">
        <v>9</v>
      </c>
      <c r="H144" t="s">
        <v>10</v>
      </c>
      <c r="I144" t="str">
        <f>IF(Table1[[#This Row],[Income]]&lt;=30000, "Low Income", IF(Table1[[#This Row],[Income]]&lt;=60000,"Medium Income","High Income"))</f>
        <v>Low Income</v>
      </c>
      <c r="J144" s="1">
        <f>Table1[[#This Row],[LoanAmount]]/Table1[[#This Row],[Income]]</f>
        <v>1.2076653306613228</v>
      </c>
    </row>
    <row r="145" spans="1:10" x14ac:dyDescent="0.3">
      <c r="A145">
        <v>172</v>
      </c>
      <c r="B145">
        <v>48</v>
      </c>
      <c r="C145" t="s">
        <v>8</v>
      </c>
      <c r="D145">
        <v>62614</v>
      </c>
      <c r="E145">
        <v>19994</v>
      </c>
      <c r="F145">
        <v>477</v>
      </c>
      <c r="G145" t="s">
        <v>9</v>
      </c>
      <c r="H145" t="s">
        <v>10</v>
      </c>
      <c r="I145" t="str">
        <f>IF(Table1[[#This Row],[Income]]&lt;=30000, "Low Income", IF(Table1[[#This Row],[Income]]&lt;=60000,"Medium Income","High Income"))</f>
        <v>High Income</v>
      </c>
      <c r="J145" s="1">
        <f>Table1[[#This Row],[LoanAmount]]/Table1[[#This Row],[Income]]</f>
        <v>0.31932155747915802</v>
      </c>
    </row>
    <row r="146" spans="1:10" x14ac:dyDescent="0.3">
      <c r="A146">
        <v>176</v>
      </c>
      <c r="B146">
        <v>53</v>
      </c>
      <c r="C146" t="s">
        <v>11</v>
      </c>
      <c r="D146">
        <v>42420</v>
      </c>
      <c r="E146">
        <v>8999</v>
      </c>
      <c r="F146">
        <v>622</v>
      </c>
      <c r="G146" t="s">
        <v>9</v>
      </c>
      <c r="H146" t="s">
        <v>10</v>
      </c>
      <c r="I146" t="str">
        <f>IF(Table1[[#This Row],[Income]]&lt;=30000, "Low Income", IF(Table1[[#This Row],[Income]]&lt;=60000,"Medium Income","High Income"))</f>
        <v>Medium Income</v>
      </c>
      <c r="J146" s="1">
        <f>Table1[[#This Row],[LoanAmount]]/Table1[[#This Row],[Income]]</f>
        <v>0.21214049976426214</v>
      </c>
    </row>
    <row r="147" spans="1:10" x14ac:dyDescent="0.3">
      <c r="A147">
        <v>177</v>
      </c>
      <c r="B147">
        <v>21</v>
      </c>
      <c r="C147" t="s">
        <v>8</v>
      </c>
      <c r="D147">
        <v>30360</v>
      </c>
      <c r="E147">
        <v>11195</v>
      </c>
      <c r="F147">
        <v>621</v>
      </c>
      <c r="G147" t="s">
        <v>9</v>
      </c>
      <c r="H147" t="s">
        <v>10</v>
      </c>
      <c r="I147" t="str">
        <f>IF(Table1[[#This Row],[Income]]&lt;=30000, "Low Income", IF(Table1[[#This Row],[Income]]&lt;=60000,"Medium Income","High Income"))</f>
        <v>Medium Income</v>
      </c>
      <c r="J147" s="1">
        <f>Table1[[#This Row],[LoanAmount]]/Table1[[#This Row],[Income]]</f>
        <v>0.36874176548089593</v>
      </c>
    </row>
    <row r="148" spans="1:10" x14ac:dyDescent="0.3">
      <c r="A148">
        <v>178</v>
      </c>
      <c r="B148">
        <v>39</v>
      </c>
      <c r="C148" t="s">
        <v>11</v>
      </c>
      <c r="D148">
        <v>54030</v>
      </c>
      <c r="E148">
        <v>3096</v>
      </c>
      <c r="F148">
        <v>402</v>
      </c>
      <c r="G148" t="s">
        <v>9</v>
      </c>
      <c r="H148" t="s">
        <v>10</v>
      </c>
      <c r="I148" t="str">
        <f>IF(Table1[[#This Row],[Income]]&lt;=30000, "Low Income", IF(Table1[[#This Row],[Income]]&lt;=60000,"Medium Income","High Income"))</f>
        <v>Medium Income</v>
      </c>
      <c r="J148" s="1">
        <f>Table1[[#This Row],[LoanAmount]]/Table1[[#This Row],[Income]]</f>
        <v>5.7301499167129372E-2</v>
      </c>
    </row>
    <row r="149" spans="1:10" x14ac:dyDescent="0.3">
      <c r="A149">
        <v>179</v>
      </c>
      <c r="B149">
        <v>22</v>
      </c>
      <c r="C149" t="s">
        <v>8</v>
      </c>
      <c r="D149">
        <v>16058</v>
      </c>
      <c r="E149">
        <v>16433</v>
      </c>
      <c r="F149">
        <v>405</v>
      </c>
      <c r="G149" t="s">
        <v>9</v>
      </c>
      <c r="H149" t="s">
        <v>10</v>
      </c>
      <c r="I149" t="str">
        <f>IF(Table1[[#This Row],[Income]]&lt;=30000, "Low Income", IF(Table1[[#This Row],[Income]]&lt;=60000,"Medium Income","High Income"))</f>
        <v>Low Income</v>
      </c>
      <c r="J149" s="1">
        <f>Table1[[#This Row],[LoanAmount]]/Table1[[#This Row],[Income]]</f>
        <v>1.0233528459334911</v>
      </c>
    </row>
    <row r="150" spans="1:10" x14ac:dyDescent="0.3">
      <c r="A150">
        <v>180</v>
      </c>
      <c r="B150">
        <v>46</v>
      </c>
      <c r="C150" t="s">
        <v>8</v>
      </c>
      <c r="D150">
        <v>35677</v>
      </c>
      <c r="E150">
        <v>11595</v>
      </c>
      <c r="F150">
        <v>492</v>
      </c>
      <c r="G150" t="s">
        <v>9</v>
      </c>
      <c r="H150" t="s">
        <v>10</v>
      </c>
      <c r="I150" t="str">
        <f>IF(Table1[[#This Row],[Income]]&lt;=30000, "Low Income", IF(Table1[[#This Row],[Income]]&lt;=60000,"Medium Income","High Income"))</f>
        <v>Medium Income</v>
      </c>
      <c r="J150" s="1">
        <f>Table1[[#This Row],[LoanAmount]]/Table1[[#This Row],[Income]]</f>
        <v>0.32499929926843624</v>
      </c>
    </row>
    <row r="151" spans="1:10" x14ac:dyDescent="0.3">
      <c r="A151">
        <v>181</v>
      </c>
      <c r="B151">
        <v>52</v>
      </c>
      <c r="C151" t="s">
        <v>8</v>
      </c>
      <c r="D151">
        <v>25724</v>
      </c>
      <c r="E151">
        <v>16941</v>
      </c>
      <c r="F151">
        <v>407</v>
      </c>
      <c r="G151" t="s">
        <v>9</v>
      </c>
      <c r="H151" t="s">
        <v>10</v>
      </c>
      <c r="I151" t="str">
        <f>IF(Table1[[#This Row],[Income]]&lt;=30000, "Low Income", IF(Table1[[#This Row],[Income]]&lt;=60000,"Medium Income","High Income"))</f>
        <v>Low Income</v>
      </c>
      <c r="J151" s="1">
        <f>Table1[[#This Row],[LoanAmount]]/Table1[[#This Row],[Income]]</f>
        <v>0.65856787435857567</v>
      </c>
    </row>
    <row r="152" spans="1:10" x14ac:dyDescent="0.3">
      <c r="A152">
        <v>182</v>
      </c>
      <c r="B152">
        <v>26</v>
      </c>
      <c r="C152" t="s">
        <v>8</v>
      </c>
      <c r="D152">
        <v>43404</v>
      </c>
      <c r="E152">
        <v>16078</v>
      </c>
      <c r="F152">
        <v>827</v>
      </c>
      <c r="G152" t="s">
        <v>12</v>
      </c>
      <c r="H152" t="s">
        <v>14</v>
      </c>
      <c r="I152" t="str">
        <f>IF(Table1[[#This Row],[Income]]&lt;=30000, "Low Income", IF(Table1[[#This Row],[Income]]&lt;=60000,"Medium Income","High Income"))</f>
        <v>Medium Income</v>
      </c>
      <c r="J152" s="1">
        <f>Table1[[#This Row],[LoanAmount]]/Table1[[#This Row],[Income]]</f>
        <v>0.37042668878444385</v>
      </c>
    </row>
    <row r="153" spans="1:10" x14ac:dyDescent="0.3">
      <c r="A153">
        <v>184</v>
      </c>
      <c r="B153">
        <v>24</v>
      </c>
      <c r="C153" t="s">
        <v>11</v>
      </c>
      <c r="D153">
        <v>48500</v>
      </c>
      <c r="E153">
        <v>3839</v>
      </c>
      <c r="F153">
        <v>507</v>
      </c>
      <c r="G153" t="s">
        <v>9</v>
      </c>
      <c r="H153" t="s">
        <v>10</v>
      </c>
      <c r="I153" t="str">
        <f>IF(Table1[[#This Row],[Income]]&lt;=30000, "Low Income", IF(Table1[[#This Row],[Income]]&lt;=60000,"Medium Income","High Income"))</f>
        <v>Medium Income</v>
      </c>
      <c r="J153" s="1">
        <f>Table1[[#This Row],[LoanAmount]]/Table1[[#This Row],[Income]]</f>
        <v>7.9154639175257738E-2</v>
      </c>
    </row>
    <row r="154" spans="1:10" x14ac:dyDescent="0.3">
      <c r="A154">
        <v>185</v>
      </c>
      <c r="B154">
        <v>31</v>
      </c>
      <c r="C154" t="s">
        <v>8</v>
      </c>
      <c r="D154">
        <v>44856</v>
      </c>
      <c r="E154">
        <v>4384</v>
      </c>
      <c r="F154">
        <v>560</v>
      </c>
      <c r="G154" t="s">
        <v>9</v>
      </c>
      <c r="H154" t="s">
        <v>10</v>
      </c>
      <c r="I154" t="str">
        <f>IF(Table1[[#This Row],[Income]]&lt;=30000, "Low Income", IF(Table1[[#This Row],[Income]]&lt;=60000,"Medium Income","High Income"))</f>
        <v>Medium Income</v>
      </c>
      <c r="J154" s="1">
        <f>Table1[[#This Row],[LoanAmount]]/Table1[[#This Row],[Income]]</f>
        <v>9.7734974139468522E-2</v>
      </c>
    </row>
    <row r="155" spans="1:10" x14ac:dyDescent="0.3">
      <c r="A155">
        <v>186</v>
      </c>
      <c r="B155">
        <v>37</v>
      </c>
      <c r="C155" t="s">
        <v>8</v>
      </c>
      <c r="D155">
        <v>24200</v>
      </c>
      <c r="E155">
        <v>11851</v>
      </c>
      <c r="F155">
        <v>608</v>
      </c>
      <c r="G155" t="s">
        <v>9</v>
      </c>
      <c r="H155" t="s">
        <v>10</v>
      </c>
      <c r="I155" t="str">
        <f>IF(Table1[[#This Row],[Income]]&lt;=30000, "Low Income", IF(Table1[[#This Row],[Income]]&lt;=60000,"Medium Income","High Income"))</f>
        <v>Low Income</v>
      </c>
      <c r="J155" s="1">
        <f>Table1[[#This Row],[LoanAmount]]/Table1[[#This Row],[Income]]</f>
        <v>0.48971074380165291</v>
      </c>
    </row>
    <row r="156" spans="1:10" x14ac:dyDescent="0.3">
      <c r="A156">
        <v>187</v>
      </c>
      <c r="B156">
        <v>58</v>
      </c>
      <c r="C156" t="s">
        <v>8</v>
      </c>
      <c r="D156">
        <v>79178</v>
      </c>
      <c r="E156">
        <v>11053</v>
      </c>
      <c r="F156">
        <v>639</v>
      </c>
      <c r="G156" t="s">
        <v>9</v>
      </c>
      <c r="H156" t="s">
        <v>10</v>
      </c>
      <c r="I156" t="str">
        <f>IF(Table1[[#This Row],[Income]]&lt;=30000, "Low Income", IF(Table1[[#This Row],[Income]]&lt;=60000,"Medium Income","High Income"))</f>
        <v>High Income</v>
      </c>
      <c r="J156" s="1">
        <f>Table1[[#This Row],[LoanAmount]]/Table1[[#This Row],[Income]]</f>
        <v>0.13959685771300109</v>
      </c>
    </row>
    <row r="157" spans="1:10" x14ac:dyDescent="0.3">
      <c r="A157">
        <v>188</v>
      </c>
      <c r="B157">
        <v>44</v>
      </c>
      <c r="C157" t="s">
        <v>11</v>
      </c>
      <c r="D157">
        <v>48997</v>
      </c>
      <c r="E157">
        <v>14493</v>
      </c>
      <c r="F157">
        <v>730</v>
      </c>
      <c r="G157" t="s">
        <v>12</v>
      </c>
      <c r="H157" t="s">
        <v>13</v>
      </c>
      <c r="I157" t="str">
        <f>IF(Table1[[#This Row],[Income]]&lt;=30000, "Low Income", IF(Table1[[#This Row],[Income]]&lt;=60000,"Medium Income","High Income"))</f>
        <v>Medium Income</v>
      </c>
      <c r="J157" s="1">
        <f>Table1[[#This Row],[LoanAmount]]/Table1[[#This Row],[Income]]</f>
        <v>0.29579362001755211</v>
      </c>
    </row>
    <row r="158" spans="1:10" x14ac:dyDescent="0.3">
      <c r="A158">
        <v>189</v>
      </c>
      <c r="B158">
        <v>25</v>
      </c>
      <c r="C158" t="s">
        <v>8</v>
      </c>
      <c r="D158">
        <v>40611</v>
      </c>
      <c r="E158">
        <v>18069</v>
      </c>
      <c r="F158">
        <v>732</v>
      </c>
      <c r="G158" t="s">
        <v>9</v>
      </c>
      <c r="H158" t="s">
        <v>13</v>
      </c>
      <c r="I158" t="str">
        <f>IF(Table1[[#This Row],[Income]]&lt;=30000, "Low Income", IF(Table1[[#This Row],[Income]]&lt;=60000,"Medium Income","High Income"))</f>
        <v>Medium Income</v>
      </c>
      <c r="J158" s="1">
        <f>Table1[[#This Row],[LoanAmount]]/Table1[[#This Row],[Income]]</f>
        <v>0.44492871389525007</v>
      </c>
    </row>
    <row r="159" spans="1:10" x14ac:dyDescent="0.3">
      <c r="A159">
        <v>190</v>
      </c>
      <c r="B159">
        <v>54</v>
      </c>
      <c r="C159" t="s">
        <v>11</v>
      </c>
      <c r="D159">
        <v>68737</v>
      </c>
      <c r="E159">
        <v>15139</v>
      </c>
      <c r="F159">
        <v>449</v>
      </c>
      <c r="G159" t="s">
        <v>9</v>
      </c>
      <c r="H159" t="s">
        <v>10</v>
      </c>
      <c r="I159" t="str">
        <f>IF(Table1[[#This Row],[Income]]&lt;=30000, "Low Income", IF(Table1[[#This Row],[Income]]&lt;=60000,"Medium Income","High Income"))</f>
        <v>High Income</v>
      </c>
      <c r="J159" s="1">
        <f>Table1[[#This Row],[LoanAmount]]/Table1[[#This Row],[Income]]</f>
        <v>0.22024528274437349</v>
      </c>
    </row>
    <row r="160" spans="1:10" x14ac:dyDescent="0.3">
      <c r="A160">
        <v>191</v>
      </c>
      <c r="B160">
        <v>26</v>
      </c>
      <c r="C160" t="s">
        <v>8</v>
      </c>
      <c r="D160">
        <v>56235</v>
      </c>
      <c r="E160">
        <v>8531</v>
      </c>
      <c r="F160">
        <v>410</v>
      </c>
      <c r="G160" t="s">
        <v>9</v>
      </c>
      <c r="H160" t="s">
        <v>10</v>
      </c>
      <c r="I160" t="str">
        <f>IF(Table1[[#This Row],[Income]]&lt;=30000, "Low Income", IF(Table1[[#This Row],[Income]]&lt;=60000,"Medium Income","High Income"))</f>
        <v>Medium Income</v>
      </c>
      <c r="J160" s="1">
        <f>Table1[[#This Row],[LoanAmount]]/Table1[[#This Row],[Income]]</f>
        <v>0.15170267626922734</v>
      </c>
    </row>
    <row r="161" spans="1:10" x14ac:dyDescent="0.3">
      <c r="A161">
        <v>192</v>
      </c>
      <c r="B161">
        <v>42</v>
      </c>
      <c r="C161" t="s">
        <v>8</v>
      </c>
      <c r="D161">
        <v>66892</v>
      </c>
      <c r="E161">
        <v>5283</v>
      </c>
      <c r="F161">
        <v>750</v>
      </c>
      <c r="G161" t="s">
        <v>12</v>
      </c>
      <c r="H161" t="s">
        <v>14</v>
      </c>
      <c r="I161" t="str">
        <f>IF(Table1[[#This Row],[Income]]&lt;=30000, "Low Income", IF(Table1[[#This Row],[Income]]&lt;=60000,"Medium Income","High Income"))</f>
        <v>High Income</v>
      </c>
      <c r="J161" s="1">
        <f>Table1[[#This Row],[LoanAmount]]/Table1[[#This Row],[Income]]</f>
        <v>7.897805417688214E-2</v>
      </c>
    </row>
    <row r="162" spans="1:10" x14ac:dyDescent="0.3">
      <c r="A162">
        <v>193</v>
      </c>
      <c r="B162">
        <v>31</v>
      </c>
      <c r="C162" t="s">
        <v>11</v>
      </c>
      <c r="D162">
        <v>50057</v>
      </c>
      <c r="E162">
        <v>8736</v>
      </c>
      <c r="F162">
        <v>555</v>
      </c>
      <c r="G162" t="s">
        <v>9</v>
      </c>
      <c r="H162" t="s">
        <v>10</v>
      </c>
      <c r="I162" t="str">
        <f>IF(Table1[[#This Row],[Income]]&lt;=30000, "Low Income", IF(Table1[[#This Row],[Income]]&lt;=60000,"Medium Income","High Income"))</f>
        <v>Medium Income</v>
      </c>
      <c r="J162" s="1">
        <f>Table1[[#This Row],[LoanAmount]]/Table1[[#This Row],[Income]]</f>
        <v>0.17452104600755139</v>
      </c>
    </row>
    <row r="163" spans="1:10" x14ac:dyDescent="0.3">
      <c r="A163">
        <v>194</v>
      </c>
      <c r="B163">
        <v>36</v>
      </c>
      <c r="C163" t="s">
        <v>8</v>
      </c>
      <c r="D163">
        <v>16239</v>
      </c>
      <c r="E163">
        <v>8710</v>
      </c>
      <c r="F163">
        <v>469</v>
      </c>
      <c r="G163" t="s">
        <v>9</v>
      </c>
      <c r="H163" t="s">
        <v>10</v>
      </c>
      <c r="I163" t="str">
        <f>IF(Table1[[#This Row],[Income]]&lt;=30000, "Low Income", IF(Table1[[#This Row],[Income]]&lt;=60000,"Medium Income","High Income"))</f>
        <v>Low Income</v>
      </c>
      <c r="J163" s="1">
        <f>Table1[[#This Row],[LoanAmount]]/Table1[[#This Row],[Income]]</f>
        <v>0.53636307654412219</v>
      </c>
    </row>
    <row r="164" spans="1:10" x14ac:dyDescent="0.3">
      <c r="A164">
        <v>195</v>
      </c>
      <c r="B164">
        <v>53</v>
      </c>
      <c r="C164" t="s">
        <v>11</v>
      </c>
      <c r="D164">
        <v>53138</v>
      </c>
      <c r="E164">
        <v>2619</v>
      </c>
      <c r="F164">
        <v>568</v>
      </c>
      <c r="G164" t="s">
        <v>9</v>
      </c>
      <c r="H164" t="s">
        <v>10</v>
      </c>
      <c r="I164" t="str">
        <f>IF(Table1[[#This Row],[Income]]&lt;=30000, "Low Income", IF(Table1[[#This Row],[Income]]&lt;=60000,"Medium Income","High Income"))</f>
        <v>Medium Income</v>
      </c>
      <c r="J164" s="1">
        <f>Table1[[#This Row],[LoanAmount]]/Table1[[#This Row],[Income]]</f>
        <v>4.9286762768640142E-2</v>
      </c>
    </row>
    <row r="165" spans="1:10" x14ac:dyDescent="0.3">
      <c r="A165">
        <v>196</v>
      </c>
      <c r="B165">
        <v>29</v>
      </c>
      <c r="C165" t="s">
        <v>11</v>
      </c>
      <c r="D165">
        <v>48500</v>
      </c>
      <c r="E165">
        <v>14975</v>
      </c>
      <c r="F165">
        <v>671</v>
      </c>
      <c r="G165" t="s">
        <v>9</v>
      </c>
      <c r="H165" t="s">
        <v>13</v>
      </c>
      <c r="I165" t="str">
        <f>IF(Table1[[#This Row],[Income]]&lt;=30000, "Low Income", IF(Table1[[#This Row],[Income]]&lt;=60000,"Medium Income","High Income"))</f>
        <v>Medium Income</v>
      </c>
      <c r="J165" s="1">
        <f>Table1[[#This Row],[LoanAmount]]/Table1[[#This Row],[Income]]</f>
        <v>0.30876288659793816</v>
      </c>
    </row>
    <row r="166" spans="1:10" x14ac:dyDescent="0.3">
      <c r="A166">
        <v>197</v>
      </c>
      <c r="B166">
        <v>26</v>
      </c>
      <c r="C166" t="s">
        <v>8</v>
      </c>
      <c r="D166">
        <v>15125</v>
      </c>
      <c r="E166">
        <v>13835</v>
      </c>
      <c r="F166">
        <v>467</v>
      </c>
      <c r="G166" t="s">
        <v>9</v>
      </c>
      <c r="H166" t="s">
        <v>10</v>
      </c>
      <c r="I166" t="str">
        <f>IF(Table1[[#This Row],[Income]]&lt;=30000, "Low Income", IF(Table1[[#This Row],[Income]]&lt;=60000,"Medium Income","High Income"))</f>
        <v>Low Income</v>
      </c>
      <c r="J166" s="1">
        <f>Table1[[#This Row],[LoanAmount]]/Table1[[#This Row],[Income]]</f>
        <v>0.91471074380165285</v>
      </c>
    </row>
    <row r="167" spans="1:10" x14ac:dyDescent="0.3">
      <c r="A167">
        <v>200</v>
      </c>
      <c r="B167">
        <v>23</v>
      </c>
      <c r="C167" t="s">
        <v>8</v>
      </c>
      <c r="D167">
        <v>38857</v>
      </c>
      <c r="E167">
        <v>10067</v>
      </c>
      <c r="F167">
        <v>447</v>
      </c>
      <c r="G167" t="s">
        <v>9</v>
      </c>
      <c r="H167" t="s">
        <v>10</v>
      </c>
      <c r="I167" t="str">
        <f>IF(Table1[[#This Row],[Income]]&lt;=30000, "Low Income", IF(Table1[[#This Row],[Income]]&lt;=60000,"Medium Income","High Income"))</f>
        <v>Medium Income</v>
      </c>
      <c r="J167" s="1">
        <f>Table1[[#This Row],[LoanAmount]]/Table1[[#This Row],[Income]]</f>
        <v>0.25907815837558229</v>
      </c>
    </row>
    <row r="168" spans="1:10" x14ac:dyDescent="0.3">
      <c r="A168">
        <v>201</v>
      </c>
      <c r="B168">
        <v>40</v>
      </c>
      <c r="C168" t="s">
        <v>11</v>
      </c>
      <c r="D168">
        <v>76212</v>
      </c>
      <c r="E168">
        <v>5713</v>
      </c>
      <c r="F168">
        <v>583</v>
      </c>
      <c r="G168" t="s">
        <v>9</v>
      </c>
      <c r="H168" t="s">
        <v>10</v>
      </c>
      <c r="I168" t="str">
        <f>IF(Table1[[#This Row],[Income]]&lt;=30000, "Low Income", IF(Table1[[#This Row],[Income]]&lt;=60000,"Medium Income","High Income"))</f>
        <v>High Income</v>
      </c>
      <c r="J168" s="1">
        <f>Table1[[#This Row],[LoanAmount]]/Table1[[#This Row],[Income]]</f>
        <v>7.4961948249619478E-2</v>
      </c>
    </row>
    <row r="169" spans="1:10" x14ac:dyDescent="0.3">
      <c r="A169">
        <v>202</v>
      </c>
      <c r="B169">
        <v>56</v>
      </c>
      <c r="C169" t="s">
        <v>11</v>
      </c>
      <c r="D169">
        <v>48500</v>
      </c>
      <c r="E169">
        <v>10557</v>
      </c>
      <c r="F169">
        <v>719</v>
      </c>
      <c r="G169" t="s">
        <v>12</v>
      </c>
      <c r="H169" t="s">
        <v>13</v>
      </c>
      <c r="I169" t="str">
        <f>IF(Table1[[#This Row],[Income]]&lt;=30000, "Low Income", IF(Table1[[#This Row],[Income]]&lt;=60000,"Medium Income","High Income"))</f>
        <v>Medium Income</v>
      </c>
      <c r="J169" s="1">
        <f>Table1[[#This Row],[LoanAmount]]/Table1[[#This Row],[Income]]</f>
        <v>0.21767010309278351</v>
      </c>
    </row>
    <row r="170" spans="1:10" x14ac:dyDescent="0.3">
      <c r="A170">
        <v>203</v>
      </c>
      <c r="B170">
        <v>39</v>
      </c>
      <c r="C170" t="s">
        <v>11</v>
      </c>
      <c r="D170">
        <v>30398</v>
      </c>
      <c r="E170">
        <v>10435</v>
      </c>
      <c r="F170">
        <v>586</v>
      </c>
      <c r="G170" t="s">
        <v>9</v>
      </c>
      <c r="H170" t="s">
        <v>10</v>
      </c>
      <c r="I170" t="str">
        <f>IF(Table1[[#This Row],[Income]]&lt;=30000, "Low Income", IF(Table1[[#This Row],[Income]]&lt;=60000,"Medium Income","High Income"))</f>
        <v>Medium Income</v>
      </c>
      <c r="J170" s="1">
        <f>Table1[[#This Row],[LoanAmount]]/Table1[[#This Row],[Income]]</f>
        <v>0.34327916310283574</v>
      </c>
    </row>
    <row r="171" spans="1:10" x14ac:dyDescent="0.3">
      <c r="A171">
        <v>204</v>
      </c>
      <c r="B171">
        <v>46</v>
      </c>
      <c r="C171" t="s">
        <v>11</v>
      </c>
      <c r="D171">
        <v>69494</v>
      </c>
      <c r="E171">
        <v>5998</v>
      </c>
      <c r="F171">
        <v>489</v>
      </c>
      <c r="G171" t="s">
        <v>9</v>
      </c>
      <c r="H171" t="s">
        <v>10</v>
      </c>
      <c r="I171" t="str">
        <f>IF(Table1[[#This Row],[Income]]&lt;=30000, "Low Income", IF(Table1[[#This Row],[Income]]&lt;=60000,"Medium Income","High Income"))</f>
        <v>High Income</v>
      </c>
      <c r="J171" s="1">
        <f>Table1[[#This Row],[LoanAmount]]/Table1[[#This Row],[Income]]</f>
        <v>8.6309609462687426E-2</v>
      </c>
    </row>
    <row r="172" spans="1:10" x14ac:dyDescent="0.3">
      <c r="A172">
        <v>206</v>
      </c>
      <c r="B172">
        <v>39</v>
      </c>
      <c r="C172" t="s">
        <v>8</v>
      </c>
      <c r="D172">
        <v>21638</v>
      </c>
      <c r="E172">
        <v>2974</v>
      </c>
      <c r="F172">
        <v>731</v>
      </c>
      <c r="G172" t="s">
        <v>9</v>
      </c>
      <c r="H172" t="s">
        <v>13</v>
      </c>
      <c r="I172" t="str">
        <f>IF(Table1[[#This Row],[Income]]&lt;=30000, "Low Income", IF(Table1[[#This Row],[Income]]&lt;=60000,"Medium Income","High Income"))</f>
        <v>Low Income</v>
      </c>
      <c r="J172" s="1">
        <f>Table1[[#This Row],[LoanAmount]]/Table1[[#This Row],[Income]]</f>
        <v>0.13744338663462427</v>
      </c>
    </row>
    <row r="173" spans="1:10" x14ac:dyDescent="0.3">
      <c r="A173">
        <v>207</v>
      </c>
      <c r="B173">
        <v>40</v>
      </c>
      <c r="C173" t="s">
        <v>11</v>
      </c>
      <c r="D173">
        <v>21570</v>
      </c>
      <c r="E173">
        <v>9461</v>
      </c>
      <c r="F173">
        <v>538</v>
      </c>
      <c r="G173" t="s">
        <v>9</v>
      </c>
      <c r="H173" t="s">
        <v>10</v>
      </c>
      <c r="I173" t="str">
        <f>IF(Table1[[#This Row],[Income]]&lt;=30000, "Low Income", IF(Table1[[#This Row],[Income]]&lt;=60000,"Medium Income","High Income"))</f>
        <v>Low Income</v>
      </c>
      <c r="J173" s="1">
        <f>Table1[[#This Row],[LoanAmount]]/Table1[[#This Row],[Income]]</f>
        <v>0.43861845155308299</v>
      </c>
    </row>
    <row r="174" spans="1:10" x14ac:dyDescent="0.3">
      <c r="A174">
        <v>208</v>
      </c>
      <c r="B174">
        <v>52</v>
      </c>
      <c r="C174" t="s">
        <v>8</v>
      </c>
      <c r="D174">
        <v>18249</v>
      </c>
      <c r="E174">
        <v>18015</v>
      </c>
      <c r="F174">
        <v>756</v>
      </c>
      <c r="G174" t="s">
        <v>9</v>
      </c>
      <c r="H174" t="s">
        <v>14</v>
      </c>
      <c r="I174" t="str">
        <f>IF(Table1[[#This Row],[Income]]&lt;=30000, "Low Income", IF(Table1[[#This Row],[Income]]&lt;=60000,"Medium Income","High Income"))</f>
        <v>Low Income</v>
      </c>
      <c r="J174" s="1">
        <f>Table1[[#This Row],[LoanAmount]]/Table1[[#This Row],[Income]]</f>
        <v>0.98717737958244289</v>
      </c>
    </row>
    <row r="175" spans="1:10" x14ac:dyDescent="0.3">
      <c r="A175">
        <v>209</v>
      </c>
      <c r="B175">
        <v>27</v>
      </c>
      <c r="C175" t="s">
        <v>8</v>
      </c>
      <c r="D175">
        <v>24110</v>
      </c>
      <c r="E175">
        <v>18289</v>
      </c>
      <c r="F175">
        <v>488</v>
      </c>
      <c r="G175" t="s">
        <v>9</v>
      </c>
      <c r="H175" t="s">
        <v>10</v>
      </c>
      <c r="I175" t="str">
        <f>IF(Table1[[#This Row],[Income]]&lt;=30000, "Low Income", IF(Table1[[#This Row],[Income]]&lt;=60000,"Medium Income","High Income"))</f>
        <v>Low Income</v>
      </c>
      <c r="J175" s="1">
        <f>Table1[[#This Row],[LoanAmount]]/Table1[[#This Row],[Income]]</f>
        <v>0.75856491082538369</v>
      </c>
    </row>
    <row r="176" spans="1:10" x14ac:dyDescent="0.3">
      <c r="A176">
        <v>210</v>
      </c>
      <c r="B176">
        <v>53</v>
      </c>
      <c r="C176" t="s">
        <v>8</v>
      </c>
      <c r="D176">
        <v>55363</v>
      </c>
      <c r="E176">
        <v>3014</v>
      </c>
      <c r="F176">
        <v>673</v>
      </c>
      <c r="G176" t="s">
        <v>9</v>
      </c>
      <c r="H176" t="s">
        <v>13</v>
      </c>
      <c r="I176" t="str">
        <f>IF(Table1[[#This Row],[Income]]&lt;=30000, "Low Income", IF(Table1[[#This Row],[Income]]&lt;=60000,"Medium Income","High Income"))</f>
        <v>Medium Income</v>
      </c>
      <c r="J176" s="1">
        <f>Table1[[#This Row],[LoanAmount]]/Table1[[#This Row],[Income]]</f>
        <v>5.4440691436518973E-2</v>
      </c>
    </row>
    <row r="177" spans="1:10" x14ac:dyDescent="0.3">
      <c r="A177">
        <v>211</v>
      </c>
      <c r="B177">
        <v>59</v>
      </c>
      <c r="C177" t="s">
        <v>8</v>
      </c>
      <c r="D177">
        <v>28605</v>
      </c>
      <c r="E177">
        <v>10833</v>
      </c>
      <c r="F177">
        <v>418</v>
      </c>
      <c r="G177" t="s">
        <v>9</v>
      </c>
      <c r="H177" t="s">
        <v>10</v>
      </c>
      <c r="I177" t="str">
        <f>IF(Table1[[#This Row],[Income]]&lt;=30000, "Low Income", IF(Table1[[#This Row],[Income]]&lt;=60000,"Medium Income","High Income"))</f>
        <v>Low Income</v>
      </c>
      <c r="J177" s="1">
        <f>Table1[[#This Row],[LoanAmount]]/Table1[[#This Row],[Income]]</f>
        <v>0.37871001573151547</v>
      </c>
    </row>
    <row r="178" spans="1:10" x14ac:dyDescent="0.3">
      <c r="A178">
        <v>212</v>
      </c>
      <c r="B178">
        <v>38</v>
      </c>
      <c r="C178" t="s">
        <v>11</v>
      </c>
      <c r="D178">
        <v>27115</v>
      </c>
      <c r="E178">
        <v>8896</v>
      </c>
      <c r="F178">
        <v>710</v>
      </c>
      <c r="G178" t="s">
        <v>12</v>
      </c>
      <c r="H178" t="s">
        <v>13</v>
      </c>
      <c r="I178" t="str">
        <f>IF(Table1[[#This Row],[Income]]&lt;=30000, "Low Income", IF(Table1[[#This Row],[Income]]&lt;=60000,"Medium Income","High Income"))</f>
        <v>Low Income</v>
      </c>
      <c r="J178" s="1">
        <f>Table1[[#This Row],[LoanAmount]]/Table1[[#This Row],[Income]]</f>
        <v>0.32808408629909647</v>
      </c>
    </row>
    <row r="179" spans="1:10" x14ac:dyDescent="0.3">
      <c r="A179">
        <v>214</v>
      </c>
      <c r="B179">
        <v>31</v>
      </c>
      <c r="C179" t="s">
        <v>8</v>
      </c>
      <c r="D179">
        <v>37911</v>
      </c>
      <c r="E179">
        <v>17965</v>
      </c>
      <c r="F179">
        <v>773</v>
      </c>
      <c r="G179" t="s">
        <v>9</v>
      </c>
      <c r="H179" t="s">
        <v>14</v>
      </c>
      <c r="I179" t="str">
        <f>IF(Table1[[#This Row],[Income]]&lt;=30000, "Low Income", IF(Table1[[#This Row],[Income]]&lt;=60000,"Medium Income","High Income"))</f>
        <v>Medium Income</v>
      </c>
      <c r="J179" s="1">
        <f>Table1[[#This Row],[LoanAmount]]/Table1[[#This Row],[Income]]</f>
        <v>0.47387301838516527</v>
      </c>
    </row>
    <row r="180" spans="1:10" x14ac:dyDescent="0.3">
      <c r="A180">
        <v>215</v>
      </c>
      <c r="B180">
        <v>48</v>
      </c>
      <c r="C180" t="s">
        <v>11</v>
      </c>
      <c r="D180">
        <v>53525</v>
      </c>
      <c r="E180">
        <v>10032</v>
      </c>
      <c r="F180">
        <v>553</v>
      </c>
      <c r="G180" t="s">
        <v>9</v>
      </c>
      <c r="H180" t="s">
        <v>10</v>
      </c>
      <c r="I180" t="str">
        <f>IF(Table1[[#This Row],[Income]]&lt;=30000, "Low Income", IF(Table1[[#This Row],[Income]]&lt;=60000,"Medium Income","High Income"))</f>
        <v>Medium Income</v>
      </c>
      <c r="J180" s="1">
        <f>Table1[[#This Row],[LoanAmount]]/Table1[[#This Row],[Income]]</f>
        <v>0.18742643624474545</v>
      </c>
    </row>
    <row r="181" spans="1:10" x14ac:dyDescent="0.3">
      <c r="A181">
        <v>216</v>
      </c>
      <c r="B181">
        <v>45</v>
      </c>
      <c r="C181" t="s">
        <v>11</v>
      </c>
      <c r="D181">
        <v>47556</v>
      </c>
      <c r="E181">
        <v>6347</v>
      </c>
      <c r="F181">
        <v>789</v>
      </c>
      <c r="G181" t="s">
        <v>12</v>
      </c>
      <c r="H181" t="s">
        <v>14</v>
      </c>
      <c r="I181" t="str">
        <f>IF(Table1[[#This Row],[Income]]&lt;=30000, "Low Income", IF(Table1[[#This Row],[Income]]&lt;=60000,"Medium Income","High Income"))</f>
        <v>Medium Income</v>
      </c>
      <c r="J181" s="1">
        <f>Table1[[#This Row],[LoanAmount]]/Table1[[#This Row],[Income]]</f>
        <v>0.13346370594667339</v>
      </c>
    </row>
    <row r="182" spans="1:10" x14ac:dyDescent="0.3">
      <c r="A182">
        <v>217</v>
      </c>
      <c r="B182">
        <v>43</v>
      </c>
      <c r="C182" t="s">
        <v>11</v>
      </c>
      <c r="D182">
        <v>27595</v>
      </c>
      <c r="E182">
        <v>3643</v>
      </c>
      <c r="F182">
        <v>659</v>
      </c>
      <c r="G182" t="s">
        <v>9</v>
      </c>
      <c r="H182" t="s">
        <v>13</v>
      </c>
      <c r="I182" t="str">
        <f>IF(Table1[[#This Row],[Income]]&lt;=30000, "Low Income", IF(Table1[[#This Row],[Income]]&lt;=60000,"Medium Income","High Income"))</f>
        <v>Low Income</v>
      </c>
      <c r="J182" s="1">
        <f>Table1[[#This Row],[LoanAmount]]/Table1[[#This Row],[Income]]</f>
        <v>0.13201666968653741</v>
      </c>
    </row>
    <row r="183" spans="1:10" x14ac:dyDescent="0.3">
      <c r="A183">
        <v>218</v>
      </c>
      <c r="B183">
        <v>51</v>
      </c>
      <c r="C183" t="s">
        <v>8</v>
      </c>
      <c r="D183">
        <v>77799</v>
      </c>
      <c r="E183">
        <v>9017</v>
      </c>
      <c r="F183">
        <v>507</v>
      </c>
      <c r="G183" t="s">
        <v>9</v>
      </c>
      <c r="H183" t="s">
        <v>10</v>
      </c>
      <c r="I183" t="str">
        <f>IF(Table1[[#This Row],[Income]]&lt;=30000, "Low Income", IF(Table1[[#This Row],[Income]]&lt;=60000,"Medium Income","High Income"))</f>
        <v>High Income</v>
      </c>
      <c r="J183" s="1">
        <f>Table1[[#This Row],[LoanAmount]]/Table1[[#This Row],[Income]]</f>
        <v>0.11590123266365891</v>
      </c>
    </row>
    <row r="184" spans="1:10" x14ac:dyDescent="0.3">
      <c r="A184">
        <v>219</v>
      </c>
      <c r="B184">
        <v>50</v>
      </c>
      <c r="C184" t="s">
        <v>8</v>
      </c>
      <c r="D184">
        <v>16969</v>
      </c>
      <c r="E184">
        <v>19681</v>
      </c>
      <c r="F184">
        <v>770</v>
      </c>
      <c r="G184" t="s">
        <v>9</v>
      </c>
      <c r="H184" t="s">
        <v>14</v>
      </c>
      <c r="I184" t="str">
        <f>IF(Table1[[#This Row],[Income]]&lt;=30000, "Low Income", IF(Table1[[#This Row],[Income]]&lt;=60000,"Medium Income","High Income"))</f>
        <v>Low Income</v>
      </c>
      <c r="J184" s="1">
        <f>Table1[[#This Row],[LoanAmount]]/Table1[[#This Row],[Income]]</f>
        <v>1.1598208497849019</v>
      </c>
    </row>
    <row r="185" spans="1:10" x14ac:dyDescent="0.3">
      <c r="A185">
        <v>220</v>
      </c>
      <c r="B185">
        <v>55</v>
      </c>
      <c r="C185" t="s">
        <v>8</v>
      </c>
      <c r="D185">
        <v>58753</v>
      </c>
      <c r="E185">
        <v>18258</v>
      </c>
      <c r="F185">
        <v>684</v>
      </c>
      <c r="G185" t="s">
        <v>12</v>
      </c>
      <c r="H185" t="s">
        <v>13</v>
      </c>
      <c r="I185" t="str">
        <f>IF(Table1[[#This Row],[Income]]&lt;=30000, "Low Income", IF(Table1[[#This Row],[Income]]&lt;=60000,"Medium Income","High Income"))</f>
        <v>Medium Income</v>
      </c>
      <c r="J185" s="1">
        <f>Table1[[#This Row],[LoanAmount]]/Table1[[#This Row],[Income]]</f>
        <v>0.31075859956087348</v>
      </c>
    </row>
    <row r="186" spans="1:10" x14ac:dyDescent="0.3">
      <c r="A186">
        <v>221</v>
      </c>
      <c r="B186">
        <v>27</v>
      </c>
      <c r="C186" t="s">
        <v>11</v>
      </c>
      <c r="D186">
        <v>32275</v>
      </c>
      <c r="E186">
        <v>6560</v>
      </c>
      <c r="F186">
        <v>458</v>
      </c>
      <c r="G186" t="s">
        <v>9</v>
      </c>
      <c r="H186" t="s">
        <v>10</v>
      </c>
      <c r="I186" t="str">
        <f>IF(Table1[[#This Row],[Income]]&lt;=30000, "Low Income", IF(Table1[[#This Row],[Income]]&lt;=60000,"Medium Income","High Income"))</f>
        <v>Medium Income</v>
      </c>
      <c r="J186" s="1">
        <f>Table1[[#This Row],[LoanAmount]]/Table1[[#This Row],[Income]]</f>
        <v>0.20325329202168863</v>
      </c>
    </row>
    <row r="187" spans="1:10" x14ac:dyDescent="0.3">
      <c r="A187">
        <v>222</v>
      </c>
      <c r="B187">
        <v>36</v>
      </c>
      <c r="C187" t="s">
        <v>8</v>
      </c>
      <c r="D187">
        <v>19470</v>
      </c>
      <c r="E187">
        <v>16892</v>
      </c>
      <c r="F187">
        <v>524</v>
      </c>
      <c r="G187" t="s">
        <v>9</v>
      </c>
      <c r="H187" t="s">
        <v>10</v>
      </c>
      <c r="I187" t="str">
        <f>IF(Table1[[#This Row],[Income]]&lt;=30000, "Low Income", IF(Table1[[#This Row],[Income]]&lt;=60000,"Medium Income","High Income"))</f>
        <v>Low Income</v>
      </c>
      <c r="J187" s="1">
        <f>Table1[[#This Row],[LoanAmount]]/Table1[[#This Row],[Income]]</f>
        <v>0.86759116589625063</v>
      </c>
    </row>
    <row r="188" spans="1:10" x14ac:dyDescent="0.3">
      <c r="A188">
        <v>223</v>
      </c>
      <c r="B188">
        <v>46</v>
      </c>
      <c r="C188" t="s">
        <v>8</v>
      </c>
      <c r="D188">
        <v>71327</v>
      </c>
      <c r="E188">
        <v>15531</v>
      </c>
      <c r="F188">
        <v>753</v>
      </c>
      <c r="G188" t="s">
        <v>12</v>
      </c>
      <c r="H188" t="s">
        <v>14</v>
      </c>
      <c r="I188" t="str">
        <f>IF(Table1[[#This Row],[Income]]&lt;=30000, "Low Income", IF(Table1[[#This Row],[Income]]&lt;=60000,"Medium Income","High Income"))</f>
        <v>High Income</v>
      </c>
      <c r="J188" s="1">
        <f>Table1[[#This Row],[LoanAmount]]/Table1[[#This Row],[Income]]</f>
        <v>0.21774363144391323</v>
      </c>
    </row>
    <row r="189" spans="1:10" x14ac:dyDescent="0.3">
      <c r="A189">
        <v>224</v>
      </c>
      <c r="B189">
        <v>22</v>
      </c>
      <c r="C189" t="s">
        <v>11</v>
      </c>
      <c r="D189">
        <v>25225</v>
      </c>
      <c r="E189">
        <v>18073</v>
      </c>
      <c r="F189">
        <v>672</v>
      </c>
      <c r="G189" t="s">
        <v>9</v>
      </c>
      <c r="H189" t="s">
        <v>13</v>
      </c>
      <c r="I189" t="str">
        <f>IF(Table1[[#This Row],[Income]]&lt;=30000, "Low Income", IF(Table1[[#This Row],[Income]]&lt;=60000,"Medium Income","High Income"))</f>
        <v>Low Income</v>
      </c>
      <c r="J189" s="1">
        <f>Table1[[#This Row],[LoanAmount]]/Table1[[#This Row],[Income]]</f>
        <v>0.71647175421209119</v>
      </c>
    </row>
    <row r="190" spans="1:10" x14ac:dyDescent="0.3">
      <c r="A190">
        <v>225</v>
      </c>
      <c r="B190">
        <v>21</v>
      </c>
      <c r="C190" t="s">
        <v>8</v>
      </c>
      <c r="D190">
        <v>48500</v>
      </c>
      <c r="E190">
        <v>5000</v>
      </c>
      <c r="F190">
        <v>506</v>
      </c>
      <c r="G190" t="s">
        <v>9</v>
      </c>
      <c r="H190" t="s">
        <v>10</v>
      </c>
      <c r="I190" t="str">
        <f>IF(Table1[[#This Row],[Income]]&lt;=30000, "Low Income", IF(Table1[[#This Row],[Income]]&lt;=60000,"Medium Income","High Income"))</f>
        <v>Medium Income</v>
      </c>
      <c r="J190" s="1">
        <f>Table1[[#This Row],[LoanAmount]]/Table1[[#This Row],[Income]]</f>
        <v>0.10309278350515463</v>
      </c>
    </row>
    <row r="191" spans="1:10" x14ac:dyDescent="0.3">
      <c r="A191">
        <v>226</v>
      </c>
      <c r="B191">
        <v>32</v>
      </c>
      <c r="C191" t="s">
        <v>8</v>
      </c>
      <c r="D191">
        <v>72472</v>
      </c>
      <c r="E191">
        <v>15289</v>
      </c>
      <c r="F191">
        <v>698</v>
      </c>
      <c r="G191" t="s">
        <v>12</v>
      </c>
      <c r="H191" t="s">
        <v>13</v>
      </c>
      <c r="I191" t="str">
        <f>IF(Table1[[#This Row],[Income]]&lt;=30000, "Low Income", IF(Table1[[#This Row],[Income]]&lt;=60000,"Medium Income","High Income"))</f>
        <v>High Income</v>
      </c>
      <c r="J191" s="1">
        <f>Table1[[#This Row],[LoanAmount]]/Table1[[#This Row],[Income]]</f>
        <v>0.210964234462965</v>
      </c>
    </row>
    <row r="192" spans="1:10" x14ac:dyDescent="0.3">
      <c r="A192">
        <v>227</v>
      </c>
      <c r="B192">
        <v>25</v>
      </c>
      <c r="C192" t="s">
        <v>11</v>
      </c>
      <c r="D192">
        <v>56974</v>
      </c>
      <c r="E192">
        <v>18055</v>
      </c>
      <c r="F192">
        <v>644</v>
      </c>
      <c r="G192" t="s">
        <v>9</v>
      </c>
      <c r="H192" t="s">
        <v>10</v>
      </c>
      <c r="I192" t="str">
        <f>IF(Table1[[#This Row],[Income]]&lt;=30000, "Low Income", IF(Table1[[#This Row],[Income]]&lt;=60000,"Medium Income","High Income"))</f>
        <v>Medium Income</v>
      </c>
      <c r="J192" s="1">
        <f>Table1[[#This Row],[LoanAmount]]/Table1[[#This Row],[Income]]</f>
        <v>0.31689893635693472</v>
      </c>
    </row>
    <row r="193" spans="1:10" x14ac:dyDescent="0.3">
      <c r="A193">
        <v>228</v>
      </c>
      <c r="B193">
        <v>57</v>
      </c>
      <c r="C193" t="s">
        <v>11</v>
      </c>
      <c r="D193">
        <v>57759</v>
      </c>
      <c r="E193">
        <v>8927</v>
      </c>
      <c r="F193">
        <v>735</v>
      </c>
      <c r="G193" t="s">
        <v>12</v>
      </c>
      <c r="H193" t="s">
        <v>13</v>
      </c>
      <c r="I193" t="str">
        <f>IF(Table1[[#This Row],[Income]]&lt;=30000, "Low Income", IF(Table1[[#This Row],[Income]]&lt;=60000,"Medium Income","High Income"))</f>
        <v>Medium Income</v>
      </c>
      <c r="J193" s="1">
        <f>Table1[[#This Row],[LoanAmount]]/Table1[[#This Row],[Income]]</f>
        <v>0.15455599993074673</v>
      </c>
    </row>
    <row r="194" spans="1:10" x14ac:dyDescent="0.3">
      <c r="A194">
        <v>229</v>
      </c>
      <c r="B194">
        <v>52</v>
      </c>
      <c r="C194" t="s">
        <v>11</v>
      </c>
      <c r="D194">
        <v>38196</v>
      </c>
      <c r="E194">
        <v>16562</v>
      </c>
      <c r="F194">
        <v>849</v>
      </c>
      <c r="G194" t="s">
        <v>9</v>
      </c>
      <c r="H194" t="s">
        <v>14</v>
      </c>
      <c r="I194" t="str">
        <f>IF(Table1[[#This Row],[Income]]&lt;=30000, "Low Income", IF(Table1[[#This Row],[Income]]&lt;=60000,"Medium Income","High Income"))</f>
        <v>Medium Income</v>
      </c>
      <c r="J194" s="1">
        <f>Table1[[#This Row],[LoanAmount]]/Table1[[#This Row],[Income]]</f>
        <v>0.43360561315320978</v>
      </c>
    </row>
    <row r="195" spans="1:10" x14ac:dyDescent="0.3">
      <c r="A195">
        <v>230</v>
      </c>
      <c r="B195">
        <v>29</v>
      </c>
      <c r="C195" t="s">
        <v>8</v>
      </c>
      <c r="D195">
        <v>55287</v>
      </c>
      <c r="E195">
        <v>2171</v>
      </c>
      <c r="F195">
        <v>817</v>
      </c>
      <c r="G195" t="s">
        <v>12</v>
      </c>
      <c r="H195" t="s">
        <v>14</v>
      </c>
      <c r="I195" t="str">
        <f>IF(Table1[[#This Row],[Income]]&lt;=30000, "Low Income", IF(Table1[[#This Row],[Income]]&lt;=60000,"Medium Income","High Income"))</f>
        <v>Medium Income</v>
      </c>
      <c r="J195" s="1">
        <f>Table1[[#This Row],[LoanAmount]]/Table1[[#This Row],[Income]]</f>
        <v>3.9267820644997918E-2</v>
      </c>
    </row>
    <row r="196" spans="1:10" x14ac:dyDescent="0.3">
      <c r="A196">
        <v>232</v>
      </c>
      <c r="B196">
        <v>39</v>
      </c>
      <c r="C196" t="s">
        <v>8</v>
      </c>
      <c r="D196">
        <v>52380</v>
      </c>
      <c r="E196">
        <v>10135</v>
      </c>
      <c r="F196">
        <v>407</v>
      </c>
      <c r="G196" t="s">
        <v>9</v>
      </c>
      <c r="H196" t="s">
        <v>10</v>
      </c>
      <c r="I196" t="str">
        <f>IF(Table1[[#This Row],[Income]]&lt;=30000, "Low Income", IF(Table1[[#This Row],[Income]]&lt;=60000,"Medium Income","High Income"))</f>
        <v>Medium Income</v>
      </c>
      <c r="J196" s="1">
        <f>Table1[[#This Row],[LoanAmount]]/Table1[[#This Row],[Income]]</f>
        <v>0.19348988163421152</v>
      </c>
    </row>
    <row r="197" spans="1:10" x14ac:dyDescent="0.3">
      <c r="A197">
        <v>233</v>
      </c>
      <c r="B197">
        <v>36</v>
      </c>
      <c r="C197" t="s">
        <v>11</v>
      </c>
      <c r="D197">
        <v>73862</v>
      </c>
      <c r="E197">
        <v>7342</v>
      </c>
      <c r="F197">
        <v>540</v>
      </c>
      <c r="G197" t="s">
        <v>9</v>
      </c>
      <c r="H197" t="s">
        <v>10</v>
      </c>
      <c r="I197" t="str">
        <f>IF(Table1[[#This Row],[Income]]&lt;=30000, "Low Income", IF(Table1[[#This Row],[Income]]&lt;=60000,"Medium Income","High Income"))</f>
        <v>High Income</v>
      </c>
      <c r="J197" s="1">
        <f>Table1[[#This Row],[LoanAmount]]/Table1[[#This Row],[Income]]</f>
        <v>9.9401586742844758E-2</v>
      </c>
    </row>
    <row r="198" spans="1:10" x14ac:dyDescent="0.3">
      <c r="A198">
        <v>234</v>
      </c>
      <c r="B198">
        <v>23</v>
      </c>
      <c r="C198" t="s">
        <v>11</v>
      </c>
      <c r="D198">
        <v>60141</v>
      </c>
      <c r="E198">
        <v>18833</v>
      </c>
      <c r="F198">
        <v>761</v>
      </c>
      <c r="G198" t="s">
        <v>12</v>
      </c>
      <c r="H198" t="s">
        <v>14</v>
      </c>
      <c r="I198" t="str">
        <f>IF(Table1[[#This Row],[Income]]&lt;=30000, "Low Income", IF(Table1[[#This Row],[Income]]&lt;=60000,"Medium Income","High Income"))</f>
        <v>High Income</v>
      </c>
      <c r="J198" s="1">
        <f>Table1[[#This Row],[LoanAmount]]/Table1[[#This Row],[Income]]</f>
        <v>0.31314743685672003</v>
      </c>
    </row>
    <row r="199" spans="1:10" x14ac:dyDescent="0.3">
      <c r="A199">
        <v>235</v>
      </c>
      <c r="B199">
        <v>40</v>
      </c>
      <c r="C199" t="s">
        <v>8</v>
      </c>
      <c r="D199">
        <v>65350</v>
      </c>
      <c r="E199">
        <v>12929</v>
      </c>
      <c r="F199">
        <v>407</v>
      </c>
      <c r="G199" t="s">
        <v>9</v>
      </c>
      <c r="H199" t="s">
        <v>10</v>
      </c>
      <c r="I199" t="str">
        <f>IF(Table1[[#This Row],[Income]]&lt;=30000, "Low Income", IF(Table1[[#This Row],[Income]]&lt;=60000,"Medium Income","High Income"))</f>
        <v>High Income</v>
      </c>
      <c r="J199" s="1">
        <f>Table1[[#This Row],[LoanAmount]]/Table1[[#This Row],[Income]]</f>
        <v>0.19784238714613619</v>
      </c>
    </row>
    <row r="200" spans="1:10" x14ac:dyDescent="0.3">
      <c r="A200">
        <v>236</v>
      </c>
      <c r="B200">
        <v>44</v>
      </c>
      <c r="C200" t="s">
        <v>8</v>
      </c>
      <c r="D200">
        <v>76217</v>
      </c>
      <c r="E200">
        <v>3539</v>
      </c>
      <c r="F200">
        <v>751</v>
      </c>
      <c r="G200" t="s">
        <v>12</v>
      </c>
      <c r="H200" t="s">
        <v>14</v>
      </c>
      <c r="I200" t="str">
        <f>IF(Table1[[#This Row],[Income]]&lt;=30000, "Low Income", IF(Table1[[#This Row],[Income]]&lt;=60000,"Medium Income","High Income"))</f>
        <v>High Income</v>
      </c>
      <c r="J200" s="1">
        <f>Table1[[#This Row],[LoanAmount]]/Table1[[#This Row],[Income]]</f>
        <v>4.6433210438616056E-2</v>
      </c>
    </row>
    <row r="201" spans="1:10" x14ac:dyDescent="0.3">
      <c r="A201">
        <v>237</v>
      </c>
      <c r="B201">
        <v>53</v>
      </c>
      <c r="C201" t="s">
        <v>11</v>
      </c>
      <c r="D201">
        <v>63320</v>
      </c>
      <c r="E201">
        <v>4959</v>
      </c>
      <c r="F201">
        <v>493</v>
      </c>
      <c r="G201" t="s">
        <v>9</v>
      </c>
      <c r="H201" t="s">
        <v>10</v>
      </c>
      <c r="I201" t="str">
        <f>IF(Table1[[#This Row],[Income]]&lt;=30000, "Low Income", IF(Table1[[#This Row],[Income]]&lt;=60000,"Medium Income","High Income"))</f>
        <v>High Income</v>
      </c>
      <c r="J201" s="1">
        <f>Table1[[#This Row],[LoanAmount]]/Table1[[#This Row],[Income]]</f>
        <v>7.8316487681617183E-2</v>
      </c>
    </row>
    <row r="202" spans="1:10" x14ac:dyDescent="0.3">
      <c r="A202">
        <v>238</v>
      </c>
      <c r="B202">
        <v>44</v>
      </c>
      <c r="C202" t="s">
        <v>11</v>
      </c>
      <c r="D202">
        <v>62414</v>
      </c>
      <c r="E202">
        <v>14183</v>
      </c>
      <c r="F202">
        <v>720</v>
      </c>
      <c r="G202" t="s">
        <v>12</v>
      </c>
      <c r="H202" t="s">
        <v>13</v>
      </c>
      <c r="I202" t="str">
        <f>IF(Table1[[#This Row],[Income]]&lt;=30000, "Low Income", IF(Table1[[#This Row],[Income]]&lt;=60000,"Medium Income","High Income"))</f>
        <v>High Income</v>
      </c>
      <c r="J202" s="1">
        <f>Table1[[#This Row],[LoanAmount]]/Table1[[#This Row],[Income]]</f>
        <v>0.22724068318005575</v>
      </c>
    </row>
    <row r="203" spans="1:10" x14ac:dyDescent="0.3">
      <c r="A203">
        <v>239</v>
      </c>
      <c r="B203">
        <v>31</v>
      </c>
      <c r="C203" t="s">
        <v>11</v>
      </c>
      <c r="D203">
        <v>53006</v>
      </c>
      <c r="E203">
        <v>6432</v>
      </c>
      <c r="F203">
        <v>826</v>
      </c>
      <c r="G203" t="s">
        <v>12</v>
      </c>
      <c r="H203" t="s">
        <v>14</v>
      </c>
      <c r="I203" t="str">
        <f>IF(Table1[[#This Row],[Income]]&lt;=30000, "Low Income", IF(Table1[[#This Row],[Income]]&lt;=60000,"Medium Income","High Income"))</f>
        <v>Medium Income</v>
      </c>
      <c r="J203" s="1">
        <f>Table1[[#This Row],[LoanAmount]]/Table1[[#This Row],[Income]]</f>
        <v>0.12134475342414067</v>
      </c>
    </row>
    <row r="204" spans="1:10" x14ac:dyDescent="0.3">
      <c r="A204">
        <v>241</v>
      </c>
      <c r="B204">
        <v>56</v>
      </c>
      <c r="C204" t="s">
        <v>8</v>
      </c>
      <c r="D204">
        <v>74818</v>
      </c>
      <c r="E204">
        <v>2753</v>
      </c>
      <c r="F204">
        <v>480</v>
      </c>
      <c r="G204" t="s">
        <v>9</v>
      </c>
      <c r="H204" t="s">
        <v>10</v>
      </c>
      <c r="I204" t="str">
        <f>IF(Table1[[#This Row],[Income]]&lt;=30000, "Low Income", IF(Table1[[#This Row],[Income]]&lt;=60000,"Medium Income","High Income"))</f>
        <v>High Income</v>
      </c>
      <c r="J204" s="1">
        <f>Table1[[#This Row],[LoanAmount]]/Table1[[#This Row],[Income]]</f>
        <v>3.6795958191878961E-2</v>
      </c>
    </row>
    <row r="205" spans="1:10" x14ac:dyDescent="0.3">
      <c r="A205">
        <v>242</v>
      </c>
      <c r="B205">
        <v>58</v>
      </c>
      <c r="C205" t="s">
        <v>11</v>
      </c>
      <c r="D205">
        <v>37473</v>
      </c>
      <c r="E205">
        <v>19322</v>
      </c>
      <c r="F205">
        <v>586</v>
      </c>
      <c r="G205" t="s">
        <v>9</v>
      </c>
      <c r="H205" t="s">
        <v>10</v>
      </c>
      <c r="I205" t="str">
        <f>IF(Table1[[#This Row],[Income]]&lt;=30000, "Low Income", IF(Table1[[#This Row],[Income]]&lt;=60000,"Medium Income","High Income"))</f>
        <v>Medium Income</v>
      </c>
      <c r="J205" s="1">
        <f>Table1[[#This Row],[LoanAmount]]/Table1[[#This Row],[Income]]</f>
        <v>0.5156245830331172</v>
      </c>
    </row>
    <row r="206" spans="1:10" x14ac:dyDescent="0.3">
      <c r="A206">
        <v>243</v>
      </c>
      <c r="B206">
        <v>40</v>
      </c>
      <c r="C206" t="s">
        <v>8</v>
      </c>
      <c r="D206">
        <v>75829</v>
      </c>
      <c r="E206">
        <v>11123</v>
      </c>
      <c r="F206">
        <v>483</v>
      </c>
      <c r="G206" t="s">
        <v>9</v>
      </c>
      <c r="H206" t="s">
        <v>10</v>
      </c>
      <c r="I206" t="str">
        <f>IF(Table1[[#This Row],[Income]]&lt;=30000, "Low Income", IF(Table1[[#This Row],[Income]]&lt;=60000,"Medium Income","High Income"))</f>
        <v>High Income</v>
      </c>
      <c r="J206" s="1">
        <f>Table1[[#This Row],[LoanAmount]]/Table1[[#This Row],[Income]]</f>
        <v>0.14668530509435704</v>
      </c>
    </row>
    <row r="207" spans="1:10" x14ac:dyDescent="0.3">
      <c r="A207">
        <v>244</v>
      </c>
      <c r="B207">
        <v>55</v>
      </c>
      <c r="C207" t="s">
        <v>8</v>
      </c>
      <c r="D207">
        <v>70409</v>
      </c>
      <c r="E207">
        <v>17376</v>
      </c>
      <c r="F207">
        <v>487</v>
      </c>
      <c r="G207" t="s">
        <v>9</v>
      </c>
      <c r="H207" t="s">
        <v>10</v>
      </c>
      <c r="I207" t="str">
        <f>IF(Table1[[#This Row],[Income]]&lt;=30000, "Low Income", IF(Table1[[#This Row],[Income]]&lt;=60000,"Medium Income","High Income"))</f>
        <v>High Income</v>
      </c>
      <c r="J207" s="1">
        <f>Table1[[#This Row],[LoanAmount]]/Table1[[#This Row],[Income]]</f>
        <v>0.2467866323907455</v>
      </c>
    </row>
    <row r="208" spans="1:10" x14ac:dyDescent="0.3">
      <c r="A208">
        <v>246</v>
      </c>
      <c r="B208">
        <v>55</v>
      </c>
      <c r="C208" t="s">
        <v>11</v>
      </c>
      <c r="D208">
        <v>30504</v>
      </c>
      <c r="E208">
        <v>7304</v>
      </c>
      <c r="F208">
        <v>741</v>
      </c>
      <c r="G208" t="s">
        <v>12</v>
      </c>
      <c r="H208" t="s">
        <v>13</v>
      </c>
      <c r="I208" t="str">
        <f>IF(Table1[[#This Row],[Income]]&lt;=30000, "Low Income", IF(Table1[[#This Row],[Income]]&lt;=60000,"Medium Income","High Income"))</f>
        <v>Medium Income</v>
      </c>
      <c r="J208" s="1">
        <f>Table1[[#This Row],[LoanAmount]]/Table1[[#This Row],[Income]]</f>
        <v>0.23944400734329924</v>
      </c>
    </row>
    <row r="209" spans="1:10" x14ac:dyDescent="0.3">
      <c r="A209">
        <v>247</v>
      </c>
      <c r="B209">
        <v>45</v>
      </c>
      <c r="C209" t="s">
        <v>11</v>
      </c>
      <c r="D209">
        <v>39089</v>
      </c>
      <c r="E209">
        <v>8345</v>
      </c>
      <c r="F209">
        <v>492</v>
      </c>
      <c r="G209" t="s">
        <v>9</v>
      </c>
      <c r="H209" t="s">
        <v>10</v>
      </c>
      <c r="I209" t="str">
        <f>IF(Table1[[#This Row],[Income]]&lt;=30000, "Low Income", IF(Table1[[#This Row],[Income]]&lt;=60000,"Medium Income","High Income"))</f>
        <v>Medium Income</v>
      </c>
      <c r="J209" s="1">
        <f>Table1[[#This Row],[LoanAmount]]/Table1[[#This Row],[Income]]</f>
        <v>0.21348717030366599</v>
      </c>
    </row>
    <row r="210" spans="1:10" x14ac:dyDescent="0.3">
      <c r="A210">
        <v>248</v>
      </c>
      <c r="B210">
        <v>49</v>
      </c>
      <c r="C210" t="s">
        <v>11</v>
      </c>
      <c r="D210">
        <v>51487</v>
      </c>
      <c r="E210">
        <v>16352</v>
      </c>
      <c r="F210">
        <v>485</v>
      </c>
      <c r="G210" t="s">
        <v>9</v>
      </c>
      <c r="H210" t="s">
        <v>10</v>
      </c>
      <c r="I210" t="str">
        <f>IF(Table1[[#This Row],[Income]]&lt;=30000, "Low Income", IF(Table1[[#This Row],[Income]]&lt;=60000,"Medium Income","High Income"))</f>
        <v>Medium Income</v>
      </c>
      <c r="J210" s="1">
        <f>Table1[[#This Row],[LoanAmount]]/Table1[[#This Row],[Income]]</f>
        <v>0.31759473265096044</v>
      </c>
    </row>
    <row r="211" spans="1:10" x14ac:dyDescent="0.3">
      <c r="A211">
        <v>250</v>
      </c>
      <c r="B211">
        <v>38</v>
      </c>
      <c r="C211" t="s">
        <v>8</v>
      </c>
      <c r="D211">
        <v>46463</v>
      </c>
      <c r="E211">
        <v>3336</v>
      </c>
      <c r="F211">
        <v>536</v>
      </c>
      <c r="G211" t="s">
        <v>9</v>
      </c>
      <c r="H211" t="s">
        <v>10</v>
      </c>
      <c r="I211" t="str">
        <f>IF(Table1[[#This Row],[Income]]&lt;=30000, "Low Income", IF(Table1[[#This Row],[Income]]&lt;=60000,"Medium Income","High Income"))</f>
        <v>Medium Income</v>
      </c>
      <c r="J211" s="1">
        <f>Table1[[#This Row],[LoanAmount]]/Table1[[#This Row],[Income]]</f>
        <v>7.1799065923422944E-2</v>
      </c>
    </row>
    <row r="212" spans="1:10" x14ac:dyDescent="0.3">
      <c r="A212">
        <v>251</v>
      </c>
      <c r="B212">
        <v>22</v>
      </c>
      <c r="C212" t="s">
        <v>11</v>
      </c>
      <c r="D212">
        <v>59912</v>
      </c>
      <c r="E212">
        <v>10879</v>
      </c>
      <c r="F212">
        <v>820</v>
      </c>
      <c r="G212" t="s">
        <v>12</v>
      </c>
      <c r="H212" t="s">
        <v>14</v>
      </c>
      <c r="I212" t="str">
        <f>IF(Table1[[#This Row],[Income]]&lt;=30000, "Low Income", IF(Table1[[#This Row],[Income]]&lt;=60000,"Medium Income","High Income"))</f>
        <v>Medium Income</v>
      </c>
      <c r="J212" s="1">
        <f>Table1[[#This Row],[LoanAmount]]/Table1[[#This Row],[Income]]</f>
        <v>0.18158298838296169</v>
      </c>
    </row>
    <row r="213" spans="1:10" x14ac:dyDescent="0.3">
      <c r="A213">
        <v>252</v>
      </c>
      <c r="B213">
        <v>55</v>
      </c>
      <c r="C213" t="s">
        <v>11</v>
      </c>
      <c r="D213">
        <v>48500</v>
      </c>
      <c r="E213">
        <v>1572</v>
      </c>
      <c r="F213">
        <v>473</v>
      </c>
      <c r="G213" t="s">
        <v>9</v>
      </c>
      <c r="H213" t="s">
        <v>10</v>
      </c>
      <c r="I213" t="str">
        <f>IF(Table1[[#This Row],[Income]]&lt;=30000, "Low Income", IF(Table1[[#This Row],[Income]]&lt;=60000,"Medium Income","High Income"))</f>
        <v>Medium Income</v>
      </c>
      <c r="J213" s="1">
        <f>Table1[[#This Row],[LoanAmount]]/Table1[[#This Row],[Income]]</f>
        <v>3.2412371134020616E-2</v>
      </c>
    </row>
    <row r="214" spans="1:10" x14ac:dyDescent="0.3">
      <c r="A214">
        <v>253</v>
      </c>
      <c r="B214">
        <v>36</v>
      </c>
      <c r="C214" t="s">
        <v>8</v>
      </c>
      <c r="D214">
        <v>65138</v>
      </c>
      <c r="E214">
        <v>8521</v>
      </c>
      <c r="F214">
        <v>435</v>
      </c>
      <c r="G214" t="s">
        <v>9</v>
      </c>
      <c r="H214" t="s">
        <v>10</v>
      </c>
      <c r="I214" t="str">
        <f>IF(Table1[[#This Row],[Income]]&lt;=30000, "Low Income", IF(Table1[[#This Row],[Income]]&lt;=60000,"Medium Income","High Income"))</f>
        <v>High Income</v>
      </c>
      <c r="J214" s="1">
        <f>Table1[[#This Row],[LoanAmount]]/Table1[[#This Row],[Income]]</f>
        <v>0.13081457827995946</v>
      </c>
    </row>
    <row r="215" spans="1:10" x14ac:dyDescent="0.3">
      <c r="A215">
        <v>254</v>
      </c>
      <c r="B215">
        <v>56</v>
      </c>
      <c r="C215" t="s">
        <v>11</v>
      </c>
      <c r="D215">
        <v>57823</v>
      </c>
      <c r="E215">
        <v>7171</v>
      </c>
      <c r="F215">
        <v>500</v>
      </c>
      <c r="G215" t="s">
        <v>9</v>
      </c>
      <c r="H215" t="s">
        <v>10</v>
      </c>
      <c r="I215" t="str">
        <f>IF(Table1[[#This Row],[Income]]&lt;=30000, "Low Income", IF(Table1[[#This Row],[Income]]&lt;=60000,"Medium Income","High Income"))</f>
        <v>Medium Income</v>
      </c>
      <c r="J215" s="1">
        <f>Table1[[#This Row],[LoanAmount]]/Table1[[#This Row],[Income]]</f>
        <v>0.12401639486017675</v>
      </c>
    </row>
    <row r="216" spans="1:10" x14ac:dyDescent="0.3">
      <c r="A216">
        <v>255</v>
      </c>
      <c r="B216">
        <v>53</v>
      </c>
      <c r="C216" t="s">
        <v>8</v>
      </c>
      <c r="D216">
        <v>52208</v>
      </c>
      <c r="E216">
        <v>19474</v>
      </c>
      <c r="F216">
        <v>555</v>
      </c>
      <c r="G216" t="s">
        <v>9</v>
      </c>
      <c r="H216" t="s">
        <v>10</v>
      </c>
      <c r="I216" t="str">
        <f>IF(Table1[[#This Row],[Income]]&lt;=30000, "Low Income", IF(Table1[[#This Row],[Income]]&lt;=60000,"Medium Income","High Income"))</f>
        <v>Medium Income</v>
      </c>
      <c r="J216" s="1">
        <f>Table1[[#This Row],[LoanAmount]]/Table1[[#This Row],[Income]]</f>
        <v>0.37300796812749004</v>
      </c>
    </row>
    <row r="217" spans="1:10" x14ac:dyDescent="0.3">
      <c r="A217">
        <v>256</v>
      </c>
      <c r="B217">
        <v>24</v>
      </c>
      <c r="C217" t="s">
        <v>8</v>
      </c>
      <c r="D217">
        <v>69061</v>
      </c>
      <c r="E217">
        <v>14992</v>
      </c>
      <c r="F217">
        <v>825</v>
      </c>
      <c r="G217" t="s">
        <v>12</v>
      </c>
      <c r="H217" t="s">
        <v>14</v>
      </c>
      <c r="I217" t="str">
        <f>IF(Table1[[#This Row],[Income]]&lt;=30000, "Low Income", IF(Table1[[#This Row],[Income]]&lt;=60000,"Medium Income","High Income"))</f>
        <v>High Income</v>
      </c>
      <c r="J217" s="1">
        <f>Table1[[#This Row],[LoanAmount]]/Table1[[#This Row],[Income]]</f>
        <v>0.21708344796629067</v>
      </c>
    </row>
    <row r="218" spans="1:10" x14ac:dyDescent="0.3">
      <c r="A218">
        <v>257</v>
      </c>
      <c r="B218">
        <v>53</v>
      </c>
      <c r="C218" t="s">
        <v>8</v>
      </c>
      <c r="D218">
        <v>45659</v>
      </c>
      <c r="E218">
        <v>12861</v>
      </c>
      <c r="F218">
        <v>654</v>
      </c>
      <c r="G218" t="s">
        <v>9</v>
      </c>
      <c r="H218" t="s">
        <v>13</v>
      </c>
      <c r="I218" t="str">
        <f>IF(Table1[[#This Row],[Income]]&lt;=30000, "Low Income", IF(Table1[[#This Row],[Income]]&lt;=60000,"Medium Income","High Income"))</f>
        <v>Medium Income</v>
      </c>
      <c r="J218" s="1">
        <f>Table1[[#This Row],[LoanAmount]]/Table1[[#This Row],[Income]]</f>
        <v>0.28167502573424735</v>
      </c>
    </row>
    <row r="219" spans="1:10" x14ac:dyDescent="0.3">
      <c r="A219">
        <v>258</v>
      </c>
      <c r="B219">
        <v>34</v>
      </c>
      <c r="C219" t="s">
        <v>8</v>
      </c>
      <c r="D219">
        <v>79288</v>
      </c>
      <c r="E219">
        <v>13464</v>
      </c>
      <c r="F219">
        <v>570</v>
      </c>
      <c r="G219" t="s">
        <v>9</v>
      </c>
      <c r="H219" t="s">
        <v>10</v>
      </c>
      <c r="I219" t="str">
        <f>IF(Table1[[#This Row],[Income]]&lt;=30000, "Low Income", IF(Table1[[#This Row],[Income]]&lt;=60000,"Medium Income","High Income"))</f>
        <v>High Income</v>
      </c>
      <c r="J219" s="1">
        <f>Table1[[#This Row],[LoanAmount]]/Table1[[#This Row],[Income]]</f>
        <v>0.16981132075471697</v>
      </c>
    </row>
    <row r="220" spans="1:10" x14ac:dyDescent="0.3">
      <c r="A220">
        <v>260</v>
      </c>
      <c r="B220">
        <v>40</v>
      </c>
      <c r="C220" t="s">
        <v>8</v>
      </c>
      <c r="D220">
        <v>46890</v>
      </c>
      <c r="E220">
        <v>18901</v>
      </c>
      <c r="F220">
        <v>569</v>
      </c>
      <c r="G220" t="s">
        <v>9</v>
      </c>
      <c r="H220" t="s">
        <v>10</v>
      </c>
      <c r="I220" t="str">
        <f>IF(Table1[[#This Row],[Income]]&lt;=30000, "Low Income", IF(Table1[[#This Row],[Income]]&lt;=60000,"Medium Income","High Income"))</f>
        <v>Medium Income</v>
      </c>
      <c r="J220" s="1">
        <f>Table1[[#This Row],[LoanAmount]]/Table1[[#This Row],[Income]]</f>
        <v>0.40309234378332265</v>
      </c>
    </row>
    <row r="221" spans="1:10" x14ac:dyDescent="0.3">
      <c r="A221">
        <v>262</v>
      </c>
      <c r="B221">
        <v>27</v>
      </c>
      <c r="C221" t="s">
        <v>8</v>
      </c>
      <c r="D221">
        <v>62055</v>
      </c>
      <c r="E221">
        <v>11849</v>
      </c>
      <c r="F221">
        <v>759</v>
      </c>
      <c r="G221" t="s">
        <v>12</v>
      </c>
      <c r="H221" t="s">
        <v>14</v>
      </c>
      <c r="I221" t="str">
        <f>IF(Table1[[#This Row],[Income]]&lt;=30000, "Low Income", IF(Table1[[#This Row],[Income]]&lt;=60000,"Medium Income","High Income"))</f>
        <v>High Income</v>
      </c>
      <c r="J221" s="1">
        <f>Table1[[#This Row],[LoanAmount]]/Table1[[#This Row],[Income]]</f>
        <v>0.19094351784707114</v>
      </c>
    </row>
    <row r="222" spans="1:10" x14ac:dyDescent="0.3">
      <c r="A222">
        <v>263</v>
      </c>
      <c r="B222">
        <v>23</v>
      </c>
      <c r="C222" t="s">
        <v>11</v>
      </c>
      <c r="D222">
        <v>48500</v>
      </c>
      <c r="E222">
        <v>4648</v>
      </c>
      <c r="F222">
        <v>721</v>
      </c>
      <c r="G222" t="s">
        <v>12</v>
      </c>
      <c r="H222" t="s">
        <v>13</v>
      </c>
      <c r="I222" t="str">
        <f>IF(Table1[[#This Row],[Income]]&lt;=30000, "Low Income", IF(Table1[[#This Row],[Income]]&lt;=60000,"Medium Income","High Income"))</f>
        <v>Medium Income</v>
      </c>
      <c r="J222" s="1">
        <f>Table1[[#This Row],[LoanAmount]]/Table1[[#This Row],[Income]]</f>
        <v>9.5835051546391756E-2</v>
      </c>
    </row>
    <row r="223" spans="1:10" x14ac:dyDescent="0.3">
      <c r="A223">
        <v>264</v>
      </c>
      <c r="B223">
        <v>37</v>
      </c>
      <c r="C223" t="s">
        <v>11</v>
      </c>
      <c r="D223">
        <v>34508</v>
      </c>
      <c r="E223">
        <v>16177</v>
      </c>
      <c r="F223">
        <v>454</v>
      </c>
      <c r="G223" t="s">
        <v>9</v>
      </c>
      <c r="H223" t="s">
        <v>10</v>
      </c>
      <c r="I223" t="str">
        <f>IF(Table1[[#This Row],[Income]]&lt;=30000, "Low Income", IF(Table1[[#This Row],[Income]]&lt;=60000,"Medium Income","High Income"))</f>
        <v>Medium Income</v>
      </c>
      <c r="J223" s="1">
        <f>Table1[[#This Row],[LoanAmount]]/Table1[[#This Row],[Income]]</f>
        <v>0.46878984583285033</v>
      </c>
    </row>
    <row r="224" spans="1:10" x14ac:dyDescent="0.3">
      <c r="A224">
        <v>266</v>
      </c>
      <c r="B224">
        <v>32</v>
      </c>
      <c r="C224" t="s">
        <v>11</v>
      </c>
      <c r="D224">
        <v>28380</v>
      </c>
      <c r="E224">
        <v>18921</v>
      </c>
      <c r="F224">
        <v>490</v>
      </c>
      <c r="G224" t="s">
        <v>9</v>
      </c>
      <c r="H224" t="s">
        <v>10</v>
      </c>
      <c r="I224" t="str">
        <f>IF(Table1[[#This Row],[Income]]&lt;=30000, "Low Income", IF(Table1[[#This Row],[Income]]&lt;=60000,"Medium Income","High Income"))</f>
        <v>Low Income</v>
      </c>
      <c r="J224" s="1">
        <f>Table1[[#This Row],[LoanAmount]]/Table1[[#This Row],[Income]]</f>
        <v>0.66670190274841434</v>
      </c>
    </row>
    <row r="225" spans="1:10" x14ac:dyDescent="0.3">
      <c r="A225">
        <v>267</v>
      </c>
      <c r="B225">
        <v>42</v>
      </c>
      <c r="C225" t="s">
        <v>8</v>
      </c>
      <c r="D225">
        <v>41984</v>
      </c>
      <c r="E225">
        <v>15357</v>
      </c>
      <c r="F225">
        <v>677</v>
      </c>
      <c r="G225" t="s">
        <v>9</v>
      </c>
      <c r="H225" t="s">
        <v>13</v>
      </c>
      <c r="I225" t="str">
        <f>IF(Table1[[#This Row],[Income]]&lt;=30000, "Low Income", IF(Table1[[#This Row],[Income]]&lt;=60000,"Medium Income","High Income"))</f>
        <v>Medium Income</v>
      </c>
      <c r="J225" s="1">
        <f>Table1[[#This Row],[LoanAmount]]/Table1[[#This Row],[Income]]</f>
        <v>0.36578220274390244</v>
      </c>
    </row>
    <row r="226" spans="1:10" x14ac:dyDescent="0.3">
      <c r="A226">
        <v>269</v>
      </c>
      <c r="B226">
        <v>50</v>
      </c>
      <c r="C226" t="s">
        <v>8</v>
      </c>
      <c r="D226">
        <v>48500</v>
      </c>
      <c r="E226">
        <v>4137</v>
      </c>
      <c r="F226">
        <v>554</v>
      </c>
      <c r="G226" t="s">
        <v>9</v>
      </c>
      <c r="H226" t="s">
        <v>10</v>
      </c>
      <c r="I226" t="str">
        <f>IF(Table1[[#This Row],[Income]]&lt;=30000, "Low Income", IF(Table1[[#This Row],[Income]]&lt;=60000,"Medium Income","High Income"))</f>
        <v>Medium Income</v>
      </c>
      <c r="J226" s="1">
        <f>Table1[[#This Row],[LoanAmount]]/Table1[[#This Row],[Income]]</f>
        <v>8.5298969072164943E-2</v>
      </c>
    </row>
    <row r="227" spans="1:10" x14ac:dyDescent="0.3">
      <c r="A227">
        <v>270</v>
      </c>
      <c r="B227">
        <v>58</v>
      </c>
      <c r="C227" t="s">
        <v>11</v>
      </c>
      <c r="D227">
        <v>51059</v>
      </c>
      <c r="E227">
        <v>1097</v>
      </c>
      <c r="F227">
        <v>776</v>
      </c>
      <c r="G227" t="s">
        <v>12</v>
      </c>
      <c r="H227" t="s">
        <v>14</v>
      </c>
      <c r="I227" t="str">
        <f>IF(Table1[[#This Row],[Income]]&lt;=30000, "Low Income", IF(Table1[[#This Row],[Income]]&lt;=60000,"Medium Income","High Income"))</f>
        <v>Medium Income</v>
      </c>
      <c r="J227" s="1">
        <f>Table1[[#This Row],[LoanAmount]]/Table1[[#This Row],[Income]]</f>
        <v>2.1484948784739222E-2</v>
      </c>
    </row>
    <row r="228" spans="1:10" x14ac:dyDescent="0.3">
      <c r="A228">
        <v>271</v>
      </c>
      <c r="B228">
        <v>58</v>
      </c>
      <c r="C228" t="s">
        <v>11</v>
      </c>
      <c r="D228">
        <v>19033</v>
      </c>
      <c r="E228">
        <v>12407</v>
      </c>
      <c r="F228">
        <v>748</v>
      </c>
      <c r="G228" t="s">
        <v>9</v>
      </c>
      <c r="H228" t="s">
        <v>13</v>
      </c>
      <c r="I228" t="str">
        <f>IF(Table1[[#This Row],[Income]]&lt;=30000, "Low Income", IF(Table1[[#This Row],[Income]]&lt;=60000,"Medium Income","High Income"))</f>
        <v>Low Income</v>
      </c>
      <c r="J228" s="1">
        <f>Table1[[#This Row],[LoanAmount]]/Table1[[#This Row],[Income]]</f>
        <v>0.65186780854305681</v>
      </c>
    </row>
    <row r="229" spans="1:10" x14ac:dyDescent="0.3">
      <c r="A229">
        <v>272</v>
      </c>
      <c r="B229">
        <v>28</v>
      </c>
      <c r="C229" t="s">
        <v>11</v>
      </c>
      <c r="D229">
        <v>52873</v>
      </c>
      <c r="E229">
        <v>13722</v>
      </c>
      <c r="F229">
        <v>763</v>
      </c>
      <c r="G229" t="s">
        <v>12</v>
      </c>
      <c r="H229" t="s">
        <v>14</v>
      </c>
      <c r="I229" t="str">
        <f>IF(Table1[[#This Row],[Income]]&lt;=30000, "Low Income", IF(Table1[[#This Row],[Income]]&lt;=60000,"Medium Income","High Income"))</f>
        <v>Medium Income</v>
      </c>
      <c r="J229" s="1">
        <f>Table1[[#This Row],[LoanAmount]]/Table1[[#This Row],[Income]]</f>
        <v>0.25952754714126303</v>
      </c>
    </row>
    <row r="230" spans="1:10" x14ac:dyDescent="0.3">
      <c r="A230">
        <v>273</v>
      </c>
      <c r="B230">
        <v>47</v>
      </c>
      <c r="C230" t="s">
        <v>8</v>
      </c>
      <c r="D230">
        <v>32087</v>
      </c>
      <c r="E230">
        <v>13924</v>
      </c>
      <c r="F230">
        <v>540</v>
      </c>
      <c r="G230" t="s">
        <v>9</v>
      </c>
      <c r="H230" t="s">
        <v>10</v>
      </c>
      <c r="I230" t="str">
        <f>IF(Table1[[#This Row],[Income]]&lt;=30000, "Low Income", IF(Table1[[#This Row],[Income]]&lt;=60000,"Medium Income","High Income"))</f>
        <v>Medium Income</v>
      </c>
      <c r="J230" s="1">
        <f>Table1[[#This Row],[LoanAmount]]/Table1[[#This Row],[Income]]</f>
        <v>0.43394521145635306</v>
      </c>
    </row>
    <row r="231" spans="1:10" x14ac:dyDescent="0.3">
      <c r="A231">
        <v>274</v>
      </c>
      <c r="B231">
        <v>47</v>
      </c>
      <c r="C231" t="s">
        <v>11</v>
      </c>
      <c r="D231">
        <v>55901</v>
      </c>
      <c r="E231">
        <v>4750</v>
      </c>
      <c r="F231">
        <v>572</v>
      </c>
      <c r="G231" t="s">
        <v>9</v>
      </c>
      <c r="H231" t="s">
        <v>10</v>
      </c>
      <c r="I231" t="str">
        <f>IF(Table1[[#This Row],[Income]]&lt;=30000, "Low Income", IF(Table1[[#This Row],[Income]]&lt;=60000,"Medium Income","High Income"))</f>
        <v>Medium Income</v>
      </c>
      <c r="J231" s="1">
        <f>Table1[[#This Row],[LoanAmount]]/Table1[[#This Row],[Income]]</f>
        <v>8.4971646303286172E-2</v>
      </c>
    </row>
    <row r="232" spans="1:10" x14ac:dyDescent="0.3">
      <c r="A232">
        <v>275</v>
      </c>
      <c r="B232">
        <v>54</v>
      </c>
      <c r="C232" t="s">
        <v>8</v>
      </c>
      <c r="D232">
        <v>64726</v>
      </c>
      <c r="E232">
        <v>9535</v>
      </c>
      <c r="F232">
        <v>409</v>
      </c>
      <c r="G232" t="s">
        <v>9</v>
      </c>
      <c r="H232" t="s">
        <v>10</v>
      </c>
      <c r="I232" t="str">
        <f>IF(Table1[[#This Row],[Income]]&lt;=30000, "Low Income", IF(Table1[[#This Row],[Income]]&lt;=60000,"Medium Income","High Income"))</f>
        <v>High Income</v>
      </c>
      <c r="J232" s="1">
        <f>Table1[[#This Row],[LoanAmount]]/Table1[[#This Row],[Income]]</f>
        <v>0.14731328986805919</v>
      </c>
    </row>
    <row r="233" spans="1:10" x14ac:dyDescent="0.3">
      <c r="A233">
        <v>276</v>
      </c>
      <c r="B233">
        <v>41</v>
      </c>
      <c r="C233" t="s">
        <v>8</v>
      </c>
      <c r="D233">
        <v>20704</v>
      </c>
      <c r="E233">
        <v>5666</v>
      </c>
      <c r="F233">
        <v>627</v>
      </c>
      <c r="G233" t="s">
        <v>9</v>
      </c>
      <c r="H233" t="s">
        <v>10</v>
      </c>
      <c r="I233" t="str">
        <f>IF(Table1[[#This Row],[Income]]&lt;=30000, "Low Income", IF(Table1[[#This Row],[Income]]&lt;=60000,"Medium Income","High Income"))</f>
        <v>Low Income</v>
      </c>
      <c r="J233" s="1">
        <f>Table1[[#This Row],[LoanAmount]]/Table1[[#This Row],[Income]]</f>
        <v>0.27366692426584233</v>
      </c>
    </row>
    <row r="234" spans="1:10" x14ac:dyDescent="0.3">
      <c r="A234">
        <v>278</v>
      </c>
      <c r="B234">
        <v>53</v>
      </c>
      <c r="C234" t="s">
        <v>11</v>
      </c>
      <c r="D234">
        <v>22848</v>
      </c>
      <c r="E234">
        <v>17994</v>
      </c>
      <c r="F234">
        <v>837</v>
      </c>
      <c r="G234" t="s">
        <v>9</v>
      </c>
      <c r="H234" t="s">
        <v>14</v>
      </c>
      <c r="I234" t="str">
        <f>IF(Table1[[#This Row],[Income]]&lt;=30000, "Low Income", IF(Table1[[#This Row],[Income]]&lt;=60000,"Medium Income","High Income"))</f>
        <v>Low Income</v>
      </c>
      <c r="J234" s="1">
        <f>Table1[[#This Row],[LoanAmount]]/Table1[[#This Row],[Income]]</f>
        <v>0.78755252100840334</v>
      </c>
    </row>
    <row r="235" spans="1:10" x14ac:dyDescent="0.3">
      <c r="A235">
        <v>279</v>
      </c>
      <c r="B235">
        <v>48</v>
      </c>
      <c r="C235" t="s">
        <v>11</v>
      </c>
      <c r="D235">
        <v>36592</v>
      </c>
      <c r="E235">
        <v>2727</v>
      </c>
      <c r="F235">
        <v>647</v>
      </c>
      <c r="G235" t="s">
        <v>9</v>
      </c>
      <c r="H235" t="s">
        <v>10</v>
      </c>
      <c r="I235" t="str">
        <f>IF(Table1[[#This Row],[Income]]&lt;=30000, "Low Income", IF(Table1[[#This Row],[Income]]&lt;=60000,"Medium Income","High Income"))</f>
        <v>Medium Income</v>
      </c>
      <c r="J235" s="1">
        <f>Table1[[#This Row],[LoanAmount]]/Table1[[#This Row],[Income]]</f>
        <v>7.4524486226497599E-2</v>
      </c>
    </row>
    <row r="236" spans="1:10" x14ac:dyDescent="0.3">
      <c r="A236">
        <v>281</v>
      </c>
      <c r="B236">
        <v>25</v>
      </c>
      <c r="C236" t="s">
        <v>11</v>
      </c>
      <c r="D236">
        <v>21924</v>
      </c>
      <c r="E236">
        <v>11800</v>
      </c>
      <c r="F236">
        <v>554</v>
      </c>
      <c r="G236" t="s">
        <v>9</v>
      </c>
      <c r="H236" t="s">
        <v>10</v>
      </c>
      <c r="I236" t="str">
        <f>IF(Table1[[#This Row],[Income]]&lt;=30000, "Low Income", IF(Table1[[#This Row],[Income]]&lt;=60000,"Medium Income","High Income"))</f>
        <v>Low Income</v>
      </c>
      <c r="J236" s="1">
        <f>Table1[[#This Row],[LoanAmount]]/Table1[[#This Row],[Income]]</f>
        <v>0.53822295201605541</v>
      </c>
    </row>
    <row r="237" spans="1:10" x14ac:dyDescent="0.3">
      <c r="A237">
        <v>282</v>
      </c>
      <c r="B237">
        <v>39</v>
      </c>
      <c r="C237" t="s">
        <v>8</v>
      </c>
      <c r="D237">
        <v>42208</v>
      </c>
      <c r="E237">
        <v>6055</v>
      </c>
      <c r="F237">
        <v>433</v>
      </c>
      <c r="G237" t="s">
        <v>9</v>
      </c>
      <c r="H237" t="s">
        <v>10</v>
      </c>
      <c r="I237" t="str">
        <f>IF(Table1[[#This Row],[Income]]&lt;=30000, "Low Income", IF(Table1[[#This Row],[Income]]&lt;=60000,"Medium Income","High Income"))</f>
        <v>Medium Income</v>
      </c>
      <c r="J237" s="1">
        <f>Table1[[#This Row],[LoanAmount]]/Table1[[#This Row],[Income]]</f>
        <v>0.14345621683093251</v>
      </c>
    </row>
    <row r="238" spans="1:10" x14ac:dyDescent="0.3">
      <c r="A238">
        <v>283</v>
      </c>
      <c r="B238">
        <v>24</v>
      </c>
      <c r="C238" t="s">
        <v>8</v>
      </c>
      <c r="D238">
        <v>67980</v>
      </c>
      <c r="E238">
        <v>11271</v>
      </c>
      <c r="F238">
        <v>528</v>
      </c>
      <c r="G238" t="s">
        <v>9</v>
      </c>
      <c r="H238" t="s">
        <v>10</v>
      </c>
      <c r="I238" t="str">
        <f>IF(Table1[[#This Row],[Income]]&lt;=30000, "Low Income", IF(Table1[[#This Row],[Income]]&lt;=60000,"Medium Income","High Income"))</f>
        <v>High Income</v>
      </c>
      <c r="J238" s="1">
        <f>Table1[[#This Row],[LoanAmount]]/Table1[[#This Row],[Income]]</f>
        <v>0.16579876434245366</v>
      </c>
    </row>
    <row r="239" spans="1:10" x14ac:dyDescent="0.3">
      <c r="A239">
        <v>285</v>
      </c>
      <c r="B239">
        <v>37</v>
      </c>
      <c r="C239" t="s">
        <v>11</v>
      </c>
      <c r="D239">
        <v>34614</v>
      </c>
      <c r="E239">
        <v>13819</v>
      </c>
      <c r="F239">
        <v>488</v>
      </c>
      <c r="G239" t="s">
        <v>9</v>
      </c>
      <c r="H239" t="s">
        <v>10</v>
      </c>
      <c r="I239" t="str">
        <f>IF(Table1[[#This Row],[Income]]&lt;=30000, "Low Income", IF(Table1[[#This Row],[Income]]&lt;=60000,"Medium Income","High Income"))</f>
        <v>Medium Income</v>
      </c>
      <c r="J239" s="1">
        <f>Table1[[#This Row],[LoanAmount]]/Table1[[#This Row],[Income]]</f>
        <v>0.39923152481654822</v>
      </c>
    </row>
    <row r="240" spans="1:10" x14ac:dyDescent="0.3">
      <c r="A240">
        <v>287</v>
      </c>
      <c r="B240">
        <v>50</v>
      </c>
      <c r="C240" t="s">
        <v>8</v>
      </c>
      <c r="D240">
        <v>54882</v>
      </c>
      <c r="E240">
        <v>10283</v>
      </c>
      <c r="F240">
        <v>726</v>
      </c>
      <c r="G240" t="s">
        <v>12</v>
      </c>
      <c r="H240" t="s">
        <v>13</v>
      </c>
      <c r="I240" t="str">
        <f>IF(Table1[[#This Row],[Income]]&lt;=30000, "Low Income", IF(Table1[[#This Row],[Income]]&lt;=60000,"Medium Income","High Income"))</f>
        <v>Medium Income</v>
      </c>
      <c r="J240" s="1">
        <f>Table1[[#This Row],[LoanAmount]]/Table1[[#This Row],[Income]]</f>
        <v>0.1873656207864145</v>
      </c>
    </row>
    <row r="241" spans="1:10" x14ac:dyDescent="0.3">
      <c r="A241">
        <v>288</v>
      </c>
      <c r="B241">
        <v>49</v>
      </c>
      <c r="C241" t="s">
        <v>8</v>
      </c>
      <c r="D241">
        <v>40923</v>
      </c>
      <c r="E241">
        <v>14171</v>
      </c>
      <c r="F241">
        <v>640</v>
      </c>
      <c r="G241" t="s">
        <v>9</v>
      </c>
      <c r="H241" t="s">
        <v>10</v>
      </c>
      <c r="I241" t="str">
        <f>IF(Table1[[#This Row],[Income]]&lt;=30000, "Low Income", IF(Table1[[#This Row],[Income]]&lt;=60000,"Medium Income","High Income"))</f>
        <v>Medium Income</v>
      </c>
      <c r="J241" s="1">
        <f>Table1[[#This Row],[LoanAmount]]/Table1[[#This Row],[Income]]</f>
        <v>0.34628448549715318</v>
      </c>
    </row>
    <row r="242" spans="1:10" x14ac:dyDescent="0.3">
      <c r="A242">
        <v>289</v>
      </c>
      <c r="B242">
        <v>26</v>
      </c>
      <c r="C242" t="s">
        <v>11</v>
      </c>
      <c r="D242">
        <v>76025</v>
      </c>
      <c r="E242">
        <v>6774</v>
      </c>
      <c r="F242">
        <v>722</v>
      </c>
      <c r="G242" t="s">
        <v>12</v>
      </c>
      <c r="H242" t="s">
        <v>13</v>
      </c>
      <c r="I242" t="str">
        <f>IF(Table1[[#This Row],[Income]]&lt;=30000, "Low Income", IF(Table1[[#This Row],[Income]]&lt;=60000,"Medium Income","High Income"))</f>
        <v>High Income</v>
      </c>
      <c r="J242" s="1">
        <f>Table1[[#This Row],[LoanAmount]]/Table1[[#This Row],[Income]]</f>
        <v>8.9102268990463668E-2</v>
      </c>
    </row>
    <row r="243" spans="1:10" x14ac:dyDescent="0.3">
      <c r="A243">
        <v>292</v>
      </c>
      <c r="B243">
        <v>44</v>
      </c>
      <c r="C243" t="s">
        <v>8</v>
      </c>
      <c r="D243">
        <v>44165</v>
      </c>
      <c r="E243">
        <v>19133</v>
      </c>
      <c r="F243">
        <v>493</v>
      </c>
      <c r="G243" t="s">
        <v>9</v>
      </c>
      <c r="H243" t="s">
        <v>10</v>
      </c>
      <c r="I243" t="str">
        <f>IF(Table1[[#This Row],[Income]]&lt;=30000, "Low Income", IF(Table1[[#This Row],[Income]]&lt;=60000,"Medium Income","High Income"))</f>
        <v>Medium Income</v>
      </c>
      <c r="J243" s="1">
        <f>Table1[[#This Row],[LoanAmount]]/Table1[[#This Row],[Income]]</f>
        <v>0.43321634778670892</v>
      </c>
    </row>
    <row r="244" spans="1:10" x14ac:dyDescent="0.3">
      <c r="A244">
        <v>293</v>
      </c>
      <c r="B244">
        <v>49</v>
      </c>
      <c r="C244" t="s">
        <v>8</v>
      </c>
      <c r="D244">
        <v>16667</v>
      </c>
      <c r="E244">
        <v>15939</v>
      </c>
      <c r="F244">
        <v>562</v>
      </c>
      <c r="G244" t="s">
        <v>9</v>
      </c>
      <c r="H244" t="s">
        <v>10</v>
      </c>
      <c r="I244" t="str">
        <f>IF(Table1[[#This Row],[Income]]&lt;=30000, "Low Income", IF(Table1[[#This Row],[Income]]&lt;=60000,"Medium Income","High Income"))</f>
        <v>Low Income</v>
      </c>
      <c r="J244" s="1">
        <f>Table1[[#This Row],[LoanAmount]]/Table1[[#This Row],[Income]]</f>
        <v>0.95632087358252837</v>
      </c>
    </row>
    <row r="245" spans="1:10" x14ac:dyDescent="0.3">
      <c r="A245">
        <v>294</v>
      </c>
      <c r="B245">
        <v>51</v>
      </c>
      <c r="C245" t="s">
        <v>11</v>
      </c>
      <c r="D245">
        <v>41213</v>
      </c>
      <c r="E245">
        <v>1781</v>
      </c>
      <c r="F245">
        <v>498</v>
      </c>
      <c r="G245" t="s">
        <v>9</v>
      </c>
      <c r="H245" t="s">
        <v>10</v>
      </c>
      <c r="I245" t="str">
        <f>IF(Table1[[#This Row],[Income]]&lt;=30000, "Low Income", IF(Table1[[#This Row],[Income]]&lt;=60000,"Medium Income","High Income"))</f>
        <v>Medium Income</v>
      </c>
      <c r="J245" s="1">
        <f>Table1[[#This Row],[LoanAmount]]/Table1[[#This Row],[Income]]</f>
        <v>4.3214519690388954E-2</v>
      </c>
    </row>
    <row r="246" spans="1:10" x14ac:dyDescent="0.3">
      <c r="A246">
        <v>295</v>
      </c>
      <c r="B246">
        <v>55</v>
      </c>
      <c r="C246" t="s">
        <v>8</v>
      </c>
      <c r="D246">
        <v>19114</v>
      </c>
      <c r="E246">
        <v>17282</v>
      </c>
      <c r="F246">
        <v>512</v>
      </c>
      <c r="G246" t="s">
        <v>9</v>
      </c>
      <c r="H246" t="s">
        <v>10</v>
      </c>
      <c r="I246" t="str">
        <f>IF(Table1[[#This Row],[Income]]&lt;=30000, "Low Income", IF(Table1[[#This Row],[Income]]&lt;=60000,"Medium Income","High Income"))</f>
        <v>Low Income</v>
      </c>
      <c r="J246" s="1">
        <f>Table1[[#This Row],[LoanAmount]]/Table1[[#This Row],[Income]]</f>
        <v>0.90415402322904681</v>
      </c>
    </row>
    <row r="247" spans="1:10" x14ac:dyDescent="0.3">
      <c r="A247">
        <v>296</v>
      </c>
      <c r="B247">
        <v>53</v>
      </c>
      <c r="C247" t="s">
        <v>11</v>
      </c>
      <c r="D247">
        <v>79965</v>
      </c>
      <c r="E247">
        <v>7823</v>
      </c>
      <c r="F247">
        <v>758</v>
      </c>
      <c r="G247" t="s">
        <v>12</v>
      </c>
      <c r="H247" t="s">
        <v>14</v>
      </c>
      <c r="I247" t="str">
        <f>IF(Table1[[#This Row],[Income]]&lt;=30000, "Low Income", IF(Table1[[#This Row],[Income]]&lt;=60000,"Medium Income","High Income"))</f>
        <v>High Income</v>
      </c>
      <c r="J247" s="1">
        <f>Table1[[#This Row],[LoanAmount]]/Table1[[#This Row],[Income]]</f>
        <v>9.7830300756581001E-2</v>
      </c>
    </row>
    <row r="248" spans="1:10" x14ac:dyDescent="0.3">
      <c r="A248">
        <v>297</v>
      </c>
      <c r="B248">
        <v>41</v>
      </c>
      <c r="C248" t="s">
        <v>11</v>
      </c>
      <c r="D248">
        <v>51321</v>
      </c>
      <c r="E248">
        <v>19489</v>
      </c>
      <c r="F248">
        <v>490</v>
      </c>
      <c r="G248" t="s">
        <v>9</v>
      </c>
      <c r="H248" t="s">
        <v>10</v>
      </c>
      <c r="I248" t="str">
        <f>IF(Table1[[#This Row],[Income]]&lt;=30000, "Low Income", IF(Table1[[#This Row],[Income]]&lt;=60000,"Medium Income","High Income"))</f>
        <v>Medium Income</v>
      </c>
      <c r="J248" s="1">
        <f>Table1[[#This Row],[LoanAmount]]/Table1[[#This Row],[Income]]</f>
        <v>0.37974708209115177</v>
      </c>
    </row>
    <row r="249" spans="1:10" x14ac:dyDescent="0.3">
      <c r="A249">
        <v>299</v>
      </c>
      <c r="B249">
        <v>43</v>
      </c>
      <c r="C249" t="s">
        <v>11</v>
      </c>
      <c r="D249">
        <v>46116</v>
      </c>
      <c r="E249">
        <v>3113</v>
      </c>
      <c r="F249">
        <v>605</v>
      </c>
      <c r="G249" t="s">
        <v>9</v>
      </c>
      <c r="H249" t="s">
        <v>10</v>
      </c>
      <c r="I249" t="str">
        <f>IF(Table1[[#This Row],[Income]]&lt;=30000, "Low Income", IF(Table1[[#This Row],[Income]]&lt;=60000,"Medium Income","High Income"))</f>
        <v>Medium Income</v>
      </c>
      <c r="J249" s="1">
        <f>Table1[[#This Row],[LoanAmount]]/Table1[[#This Row],[Income]]</f>
        <v>6.750368635614537E-2</v>
      </c>
    </row>
    <row r="250" spans="1:10" x14ac:dyDescent="0.3">
      <c r="A250">
        <v>300</v>
      </c>
      <c r="B250">
        <v>53</v>
      </c>
      <c r="C250" t="s">
        <v>11</v>
      </c>
      <c r="D250">
        <v>48500</v>
      </c>
      <c r="E250">
        <v>17280</v>
      </c>
      <c r="F250">
        <v>416</v>
      </c>
      <c r="G250" t="s">
        <v>9</v>
      </c>
      <c r="H250" t="s">
        <v>10</v>
      </c>
      <c r="I250" t="str">
        <f>IF(Table1[[#This Row],[Income]]&lt;=30000, "Low Income", IF(Table1[[#This Row],[Income]]&lt;=60000,"Medium Income","High Income"))</f>
        <v>Medium Income</v>
      </c>
      <c r="J250" s="1">
        <f>Table1[[#This Row],[LoanAmount]]/Table1[[#This Row],[Income]]</f>
        <v>0.35628865979381441</v>
      </c>
    </row>
    <row r="251" spans="1:10" x14ac:dyDescent="0.3">
      <c r="A251">
        <v>301</v>
      </c>
      <c r="B251">
        <v>23</v>
      </c>
      <c r="C251" t="s">
        <v>8</v>
      </c>
      <c r="D251">
        <v>63406</v>
      </c>
      <c r="E251">
        <v>14565</v>
      </c>
      <c r="F251">
        <v>673</v>
      </c>
      <c r="G251" t="s">
        <v>9</v>
      </c>
      <c r="H251" t="s">
        <v>13</v>
      </c>
      <c r="I251" t="str">
        <f>IF(Table1[[#This Row],[Income]]&lt;=30000, "Low Income", IF(Table1[[#This Row],[Income]]&lt;=60000,"Medium Income","High Income"))</f>
        <v>High Income</v>
      </c>
      <c r="J251" s="1">
        <f>Table1[[#This Row],[LoanAmount]]/Table1[[#This Row],[Income]]</f>
        <v>0.22971012207046651</v>
      </c>
    </row>
    <row r="252" spans="1:10" x14ac:dyDescent="0.3">
      <c r="A252">
        <v>302</v>
      </c>
      <c r="B252">
        <v>38</v>
      </c>
      <c r="C252" t="s">
        <v>11</v>
      </c>
      <c r="D252">
        <v>40426</v>
      </c>
      <c r="E252">
        <v>11183</v>
      </c>
      <c r="F252">
        <v>572</v>
      </c>
      <c r="G252" t="s">
        <v>9</v>
      </c>
      <c r="H252" t="s">
        <v>10</v>
      </c>
      <c r="I252" t="str">
        <f>IF(Table1[[#This Row],[Income]]&lt;=30000, "Low Income", IF(Table1[[#This Row],[Income]]&lt;=60000,"Medium Income","High Income"))</f>
        <v>Medium Income</v>
      </c>
      <c r="J252" s="1">
        <f>Table1[[#This Row],[LoanAmount]]/Table1[[#This Row],[Income]]</f>
        <v>0.27662890219165881</v>
      </c>
    </row>
    <row r="253" spans="1:10" x14ac:dyDescent="0.3">
      <c r="A253">
        <v>303</v>
      </c>
      <c r="B253">
        <v>45</v>
      </c>
      <c r="C253" t="s">
        <v>11</v>
      </c>
      <c r="D253">
        <v>32772</v>
      </c>
      <c r="E253">
        <v>18961</v>
      </c>
      <c r="F253">
        <v>515</v>
      </c>
      <c r="G253" t="s">
        <v>9</v>
      </c>
      <c r="H253" t="s">
        <v>10</v>
      </c>
      <c r="I253" t="str">
        <f>IF(Table1[[#This Row],[Income]]&lt;=30000, "Low Income", IF(Table1[[#This Row],[Income]]&lt;=60000,"Medium Income","High Income"))</f>
        <v>Medium Income</v>
      </c>
      <c r="J253" s="1">
        <f>Table1[[#This Row],[LoanAmount]]/Table1[[#This Row],[Income]]</f>
        <v>0.578573172220188</v>
      </c>
    </row>
    <row r="254" spans="1:10" x14ac:dyDescent="0.3">
      <c r="A254">
        <v>304</v>
      </c>
      <c r="B254">
        <v>51</v>
      </c>
      <c r="C254" t="s">
        <v>11</v>
      </c>
      <c r="D254">
        <v>53218</v>
      </c>
      <c r="E254">
        <v>10203</v>
      </c>
      <c r="F254">
        <v>748</v>
      </c>
      <c r="G254" t="s">
        <v>12</v>
      </c>
      <c r="H254" t="s">
        <v>13</v>
      </c>
      <c r="I254" t="str">
        <f>IF(Table1[[#This Row],[Income]]&lt;=30000, "Low Income", IF(Table1[[#This Row],[Income]]&lt;=60000,"Medium Income","High Income"))</f>
        <v>Medium Income</v>
      </c>
      <c r="J254" s="1">
        <f>Table1[[#This Row],[LoanAmount]]/Table1[[#This Row],[Income]]</f>
        <v>0.19172084633018904</v>
      </c>
    </row>
    <row r="255" spans="1:10" x14ac:dyDescent="0.3">
      <c r="A255">
        <v>305</v>
      </c>
      <c r="B255">
        <v>23</v>
      </c>
      <c r="C255" t="s">
        <v>8</v>
      </c>
      <c r="D255">
        <v>18712</v>
      </c>
      <c r="E255">
        <v>19658</v>
      </c>
      <c r="F255">
        <v>580</v>
      </c>
      <c r="G255" t="s">
        <v>9</v>
      </c>
      <c r="H255" t="s">
        <v>10</v>
      </c>
      <c r="I255" t="str">
        <f>IF(Table1[[#This Row],[Income]]&lt;=30000, "Low Income", IF(Table1[[#This Row],[Income]]&lt;=60000,"Medium Income","High Income"))</f>
        <v>Low Income</v>
      </c>
      <c r="J255" s="1">
        <f>Table1[[#This Row],[LoanAmount]]/Table1[[#This Row],[Income]]</f>
        <v>1.0505557930739633</v>
      </c>
    </row>
    <row r="256" spans="1:10" x14ac:dyDescent="0.3">
      <c r="A256">
        <v>308</v>
      </c>
      <c r="B256">
        <v>42</v>
      </c>
      <c r="C256" t="s">
        <v>8</v>
      </c>
      <c r="D256">
        <v>56781</v>
      </c>
      <c r="E256">
        <v>14489</v>
      </c>
      <c r="F256">
        <v>723</v>
      </c>
      <c r="G256" t="s">
        <v>12</v>
      </c>
      <c r="H256" t="s">
        <v>13</v>
      </c>
      <c r="I256" t="str">
        <f>IF(Table1[[#This Row],[Income]]&lt;=30000, "Low Income", IF(Table1[[#This Row],[Income]]&lt;=60000,"Medium Income","High Income"))</f>
        <v>Medium Income</v>
      </c>
      <c r="J256" s="1">
        <f>Table1[[#This Row],[LoanAmount]]/Table1[[#This Row],[Income]]</f>
        <v>0.25517338546344726</v>
      </c>
    </row>
    <row r="257" spans="1:10" x14ac:dyDescent="0.3">
      <c r="A257">
        <v>309</v>
      </c>
      <c r="B257">
        <v>43</v>
      </c>
      <c r="C257" t="s">
        <v>11</v>
      </c>
      <c r="D257">
        <v>64606</v>
      </c>
      <c r="E257">
        <v>6546</v>
      </c>
      <c r="F257">
        <v>848</v>
      </c>
      <c r="G257" t="s">
        <v>12</v>
      </c>
      <c r="H257" t="s">
        <v>14</v>
      </c>
      <c r="I257" t="str">
        <f>IF(Table1[[#This Row],[Income]]&lt;=30000, "Low Income", IF(Table1[[#This Row],[Income]]&lt;=60000,"Medium Income","High Income"))</f>
        <v>High Income</v>
      </c>
      <c r="J257" s="1">
        <f>Table1[[#This Row],[LoanAmount]]/Table1[[#This Row],[Income]]</f>
        <v>0.10132185865089929</v>
      </c>
    </row>
    <row r="258" spans="1:10" x14ac:dyDescent="0.3">
      <c r="A258">
        <v>310</v>
      </c>
      <c r="B258">
        <v>22</v>
      </c>
      <c r="C258" t="s">
        <v>11</v>
      </c>
      <c r="D258">
        <v>41200</v>
      </c>
      <c r="E258">
        <v>7852</v>
      </c>
      <c r="F258">
        <v>513</v>
      </c>
      <c r="G258" t="s">
        <v>9</v>
      </c>
      <c r="H258" t="s">
        <v>10</v>
      </c>
      <c r="I258" t="str">
        <f>IF(Table1[[#This Row],[Income]]&lt;=30000, "Low Income", IF(Table1[[#This Row],[Income]]&lt;=60000,"Medium Income","High Income"))</f>
        <v>Medium Income</v>
      </c>
      <c r="J258" s="1">
        <f>Table1[[#This Row],[LoanAmount]]/Table1[[#This Row],[Income]]</f>
        <v>0.19058252427184466</v>
      </c>
    </row>
    <row r="259" spans="1:10" x14ac:dyDescent="0.3">
      <c r="A259">
        <v>311</v>
      </c>
      <c r="B259">
        <v>47</v>
      </c>
      <c r="C259" t="s">
        <v>11</v>
      </c>
      <c r="D259">
        <v>48500</v>
      </c>
      <c r="E259">
        <v>3551</v>
      </c>
      <c r="F259">
        <v>656</v>
      </c>
      <c r="G259" t="s">
        <v>9</v>
      </c>
      <c r="H259" t="s">
        <v>13</v>
      </c>
      <c r="I259" t="str">
        <f>IF(Table1[[#This Row],[Income]]&lt;=30000, "Low Income", IF(Table1[[#This Row],[Income]]&lt;=60000,"Medium Income","High Income"))</f>
        <v>Medium Income</v>
      </c>
      <c r="J259" s="1">
        <f>Table1[[#This Row],[LoanAmount]]/Table1[[#This Row],[Income]]</f>
        <v>7.321649484536083E-2</v>
      </c>
    </row>
    <row r="260" spans="1:10" x14ac:dyDescent="0.3">
      <c r="A260">
        <v>312</v>
      </c>
      <c r="B260">
        <v>22</v>
      </c>
      <c r="C260" t="s">
        <v>8</v>
      </c>
      <c r="D260">
        <v>18726</v>
      </c>
      <c r="E260">
        <v>7411</v>
      </c>
      <c r="F260">
        <v>457</v>
      </c>
      <c r="G260" t="s">
        <v>9</v>
      </c>
      <c r="H260" t="s">
        <v>10</v>
      </c>
      <c r="I260" t="str">
        <f>IF(Table1[[#This Row],[Income]]&lt;=30000, "Low Income", IF(Table1[[#This Row],[Income]]&lt;=60000,"Medium Income","High Income"))</f>
        <v>Low Income</v>
      </c>
      <c r="J260" s="1">
        <f>Table1[[#This Row],[LoanAmount]]/Table1[[#This Row],[Income]]</f>
        <v>0.39575990601303002</v>
      </c>
    </row>
    <row r="261" spans="1:10" x14ac:dyDescent="0.3">
      <c r="A261">
        <v>313</v>
      </c>
      <c r="B261">
        <v>46</v>
      </c>
      <c r="C261" t="s">
        <v>11</v>
      </c>
      <c r="D261">
        <v>38616</v>
      </c>
      <c r="E261">
        <v>17391</v>
      </c>
      <c r="F261">
        <v>553</v>
      </c>
      <c r="G261" t="s">
        <v>9</v>
      </c>
      <c r="H261" t="s">
        <v>10</v>
      </c>
      <c r="I261" t="str">
        <f>IF(Table1[[#This Row],[Income]]&lt;=30000, "Low Income", IF(Table1[[#This Row],[Income]]&lt;=60000,"Medium Income","High Income"))</f>
        <v>Medium Income</v>
      </c>
      <c r="J261" s="1">
        <f>Table1[[#This Row],[LoanAmount]]/Table1[[#This Row],[Income]]</f>
        <v>0.45035736482287136</v>
      </c>
    </row>
    <row r="262" spans="1:10" x14ac:dyDescent="0.3">
      <c r="A262">
        <v>314</v>
      </c>
      <c r="B262">
        <v>37</v>
      </c>
      <c r="C262" t="s">
        <v>11</v>
      </c>
      <c r="D262">
        <v>42723</v>
      </c>
      <c r="E262">
        <v>19939</v>
      </c>
      <c r="F262">
        <v>764</v>
      </c>
      <c r="G262" t="s">
        <v>9</v>
      </c>
      <c r="H262" t="s">
        <v>14</v>
      </c>
      <c r="I262" t="str">
        <f>IF(Table1[[#This Row],[Income]]&lt;=30000, "Low Income", IF(Table1[[#This Row],[Income]]&lt;=60000,"Medium Income","High Income"))</f>
        <v>Medium Income</v>
      </c>
      <c r="J262" s="1">
        <f>Table1[[#This Row],[LoanAmount]]/Table1[[#This Row],[Income]]</f>
        <v>0.46670411722023264</v>
      </c>
    </row>
    <row r="263" spans="1:10" x14ac:dyDescent="0.3">
      <c r="A263">
        <v>315</v>
      </c>
      <c r="B263">
        <v>53</v>
      </c>
      <c r="C263" t="s">
        <v>11</v>
      </c>
      <c r="D263">
        <v>76433</v>
      </c>
      <c r="E263">
        <v>1475</v>
      </c>
      <c r="F263">
        <v>803</v>
      </c>
      <c r="G263" t="s">
        <v>12</v>
      </c>
      <c r="H263" t="s">
        <v>14</v>
      </c>
      <c r="I263" t="str">
        <f>IF(Table1[[#This Row],[Income]]&lt;=30000, "Low Income", IF(Table1[[#This Row],[Income]]&lt;=60000,"Medium Income","High Income"))</f>
        <v>High Income</v>
      </c>
      <c r="J263" s="1">
        <f>Table1[[#This Row],[LoanAmount]]/Table1[[#This Row],[Income]]</f>
        <v>1.9297947221749767E-2</v>
      </c>
    </row>
    <row r="264" spans="1:10" x14ac:dyDescent="0.3">
      <c r="A264">
        <v>318</v>
      </c>
      <c r="B264">
        <v>49</v>
      </c>
      <c r="C264" t="s">
        <v>8</v>
      </c>
      <c r="D264">
        <v>24108</v>
      </c>
      <c r="E264">
        <v>7710</v>
      </c>
      <c r="F264">
        <v>665</v>
      </c>
      <c r="G264" t="s">
        <v>9</v>
      </c>
      <c r="H264" t="s">
        <v>13</v>
      </c>
      <c r="I264" t="str">
        <f>IF(Table1[[#This Row],[Income]]&lt;=30000, "Low Income", IF(Table1[[#This Row],[Income]]&lt;=60000,"Medium Income","High Income"))</f>
        <v>Low Income</v>
      </c>
      <c r="J264" s="1">
        <f>Table1[[#This Row],[LoanAmount]]/Table1[[#This Row],[Income]]</f>
        <v>0.31981085116973618</v>
      </c>
    </row>
    <row r="265" spans="1:10" x14ac:dyDescent="0.3">
      <c r="A265">
        <v>321</v>
      </c>
      <c r="B265">
        <v>45</v>
      </c>
      <c r="C265" t="s">
        <v>11</v>
      </c>
      <c r="D265">
        <v>46324</v>
      </c>
      <c r="E265">
        <v>6223</v>
      </c>
      <c r="F265">
        <v>440</v>
      </c>
      <c r="G265" t="s">
        <v>9</v>
      </c>
      <c r="H265" t="s">
        <v>10</v>
      </c>
      <c r="I265" t="str">
        <f>IF(Table1[[#This Row],[Income]]&lt;=30000, "Low Income", IF(Table1[[#This Row],[Income]]&lt;=60000,"Medium Income","High Income"))</f>
        <v>Medium Income</v>
      </c>
      <c r="J265" s="1">
        <f>Table1[[#This Row],[LoanAmount]]/Table1[[#This Row],[Income]]</f>
        <v>0.1343364130904067</v>
      </c>
    </row>
    <row r="266" spans="1:10" x14ac:dyDescent="0.3">
      <c r="A266">
        <v>322</v>
      </c>
      <c r="B266">
        <v>44</v>
      </c>
      <c r="C266" t="s">
        <v>11</v>
      </c>
      <c r="D266">
        <v>53360</v>
      </c>
      <c r="E266">
        <v>14521</v>
      </c>
      <c r="F266">
        <v>504</v>
      </c>
      <c r="G266" t="s">
        <v>9</v>
      </c>
      <c r="H266" t="s">
        <v>10</v>
      </c>
      <c r="I266" t="str">
        <f>IF(Table1[[#This Row],[Income]]&lt;=30000, "Low Income", IF(Table1[[#This Row],[Income]]&lt;=60000,"Medium Income","High Income"))</f>
        <v>Medium Income</v>
      </c>
      <c r="J266" s="1">
        <f>Table1[[#This Row],[LoanAmount]]/Table1[[#This Row],[Income]]</f>
        <v>0.27213268365817089</v>
      </c>
    </row>
    <row r="267" spans="1:10" x14ac:dyDescent="0.3">
      <c r="A267">
        <v>323</v>
      </c>
      <c r="B267">
        <v>33</v>
      </c>
      <c r="C267" t="s">
        <v>11</v>
      </c>
      <c r="D267">
        <v>32824</v>
      </c>
      <c r="E267">
        <v>15889</v>
      </c>
      <c r="F267">
        <v>788</v>
      </c>
      <c r="G267" t="s">
        <v>9</v>
      </c>
      <c r="H267" t="s">
        <v>14</v>
      </c>
      <c r="I267" t="str">
        <f>IF(Table1[[#This Row],[Income]]&lt;=30000, "Low Income", IF(Table1[[#This Row],[Income]]&lt;=60000,"Medium Income","High Income"))</f>
        <v>Medium Income</v>
      </c>
      <c r="J267" s="1">
        <f>Table1[[#This Row],[LoanAmount]]/Table1[[#This Row],[Income]]</f>
        <v>0.48406653668047772</v>
      </c>
    </row>
    <row r="268" spans="1:10" x14ac:dyDescent="0.3">
      <c r="A268">
        <v>324</v>
      </c>
      <c r="B268">
        <v>27</v>
      </c>
      <c r="C268" t="s">
        <v>8</v>
      </c>
      <c r="D268">
        <v>60360</v>
      </c>
      <c r="E268">
        <v>7971</v>
      </c>
      <c r="F268">
        <v>777</v>
      </c>
      <c r="G268" t="s">
        <v>12</v>
      </c>
      <c r="H268" t="s">
        <v>14</v>
      </c>
      <c r="I268" t="str">
        <f>IF(Table1[[#This Row],[Income]]&lt;=30000, "Low Income", IF(Table1[[#This Row],[Income]]&lt;=60000,"Medium Income","High Income"))</f>
        <v>High Income</v>
      </c>
      <c r="J268" s="1">
        <f>Table1[[#This Row],[LoanAmount]]/Table1[[#This Row],[Income]]</f>
        <v>0.13205765407554673</v>
      </c>
    </row>
    <row r="269" spans="1:10" x14ac:dyDescent="0.3">
      <c r="A269">
        <v>326</v>
      </c>
      <c r="B269">
        <v>40</v>
      </c>
      <c r="C269" t="s">
        <v>8</v>
      </c>
      <c r="D269">
        <v>43144</v>
      </c>
      <c r="E269">
        <v>15721</v>
      </c>
      <c r="F269">
        <v>800</v>
      </c>
      <c r="G269" t="s">
        <v>12</v>
      </c>
      <c r="H269" t="s">
        <v>14</v>
      </c>
      <c r="I269" t="str">
        <f>IF(Table1[[#This Row],[Income]]&lt;=30000, "Low Income", IF(Table1[[#This Row],[Income]]&lt;=60000,"Medium Income","High Income"))</f>
        <v>Medium Income</v>
      </c>
      <c r="J269" s="1">
        <f>Table1[[#This Row],[LoanAmount]]/Table1[[#This Row],[Income]]</f>
        <v>0.36438438716855182</v>
      </c>
    </row>
    <row r="270" spans="1:10" x14ac:dyDescent="0.3">
      <c r="A270">
        <v>327</v>
      </c>
      <c r="B270">
        <v>21</v>
      </c>
      <c r="C270" t="s">
        <v>8</v>
      </c>
      <c r="D270">
        <v>46010</v>
      </c>
      <c r="E270">
        <v>5943</v>
      </c>
      <c r="F270">
        <v>677</v>
      </c>
      <c r="G270" t="s">
        <v>9</v>
      </c>
      <c r="H270" t="s">
        <v>13</v>
      </c>
      <c r="I270" t="str">
        <f>IF(Table1[[#This Row],[Income]]&lt;=30000, "Low Income", IF(Table1[[#This Row],[Income]]&lt;=60000,"Medium Income","High Income"))</f>
        <v>Medium Income</v>
      </c>
      <c r="J270" s="1">
        <f>Table1[[#This Row],[LoanAmount]]/Table1[[#This Row],[Income]]</f>
        <v>0.12916757226689851</v>
      </c>
    </row>
    <row r="271" spans="1:10" x14ac:dyDescent="0.3">
      <c r="A271">
        <v>328</v>
      </c>
      <c r="B271">
        <v>28</v>
      </c>
      <c r="C271" t="s">
        <v>11</v>
      </c>
      <c r="D271">
        <v>37443</v>
      </c>
      <c r="E271">
        <v>7530</v>
      </c>
      <c r="F271">
        <v>753</v>
      </c>
      <c r="G271" t="s">
        <v>12</v>
      </c>
      <c r="H271" t="s">
        <v>14</v>
      </c>
      <c r="I271" t="str">
        <f>IF(Table1[[#This Row],[Income]]&lt;=30000, "Low Income", IF(Table1[[#This Row],[Income]]&lt;=60000,"Medium Income","High Income"))</f>
        <v>Medium Income</v>
      </c>
      <c r="J271" s="1">
        <f>Table1[[#This Row],[LoanAmount]]/Table1[[#This Row],[Income]]</f>
        <v>0.20110568063456455</v>
      </c>
    </row>
    <row r="272" spans="1:10" x14ac:dyDescent="0.3">
      <c r="A272">
        <v>329</v>
      </c>
      <c r="B272">
        <v>36</v>
      </c>
      <c r="C272" t="s">
        <v>8</v>
      </c>
      <c r="D272">
        <v>29437</v>
      </c>
      <c r="E272">
        <v>12116</v>
      </c>
      <c r="F272">
        <v>636</v>
      </c>
      <c r="G272" t="s">
        <v>9</v>
      </c>
      <c r="H272" t="s">
        <v>10</v>
      </c>
      <c r="I272" t="str">
        <f>IF(Table1[[#This Row],[Income]]&lt;=30000, "Low Income", IF(Table1[[#This Row],[Income]]&lt;=60000,"Medium Income","High Income"))</f>
        <v>Low Income</v>
      </c>
      <c r="J272" s="1">
        <f>Table1[[#This Row],[LoanAmount]]/Table1[[#This Row],[Income]]</f>
        <v>0.41159085504637022</v>
      </c>
    </row>
    <row r="273" spans="1:10" x14ac:dyDescent="0.3">
      <c r="A273">
        <v>331</v>
      </c>
      <c r="B273">
        <v>32</v>
      </c>
      <c r="C273" t="s">
        <v>8</v>
      </c>
      <c r="D273">
        <v>59298</v>
      </c>
      <c r="E273">
        <v>1282</v>
      </c>
      <c r="F273">
        <v>620</v>
      </c>
      <c r="G273" t="s">
        <v>9</v>
      </c>
      <c r="H273" t="s">
        <v>10</v>
      </c>
      <c r="I273" t="str">
        <f>IF(Table1[[#This Row],[Income]]&lt;=30000, "Low Income", IF(Table1[[#This Row],[Income]]&lt;=60000,"Medium Income","High Income"))</f>
        <v>Medium Income</v>
      </c>
      <c r="J273" s="1">
        <f>Table1[[#This Row],[LoanAmount]]/Table1[[#This Row],[Income]]</f>
        <v>2.1619616175924988E-2</v>
      </c>
    </row>
    <row r="274" spans="1:10" x14ac:dyDescent="0.3">
      <c r="A274">
        <v>332</v>
      </c>
      <c r="B274">
        <v>43</v>
      </c>
      <c r="C274" t="s">
        <v>8</v>
      </c>
      <c r="D274">
        <v>54778</v>
      </c>
      <c r="E274">
        <v>14937</v>
      </c>
      <c r="F274">
        <v>467</v>
      </c>
      <c r="G274" t="s">
        <v>9</v>
      </c>
      <c r="H274" t="s">
        <v>10</v>
      </c>
      <c r="I274" t="str">
        <f>IF(Table1[[#This Row],[Income]]&lt;=30000, "Low Income", IF(Table1[[#This Row],[Income]]&lt;=60000,"Medium Income","High Income"))</f>
        <v>Medium Income</v>
      </c>
      <c r="J274" s="1">
        <f>Table1[[#This Row],[LoanAmount]]/Table1[[#This Row],[Income]]</f>
        <v>0.27268246376282451</v>
      </c>
    </row>
    <row r="275" spans="1:10" x14ac:dyDescent="0.3">
      <c r="A275">
        <v>333</v>
      </c>
      <c r="B275">
        <v>35</v>
      </c>
      <c r="C275" t="s">
        <v>11</v>
      </c>
      <c r="D275">
        <v>26207</v>
      </c>
      <c r="E275">
        <v>2898</v>
      </c>
      <c r="F275">
        <v>596</v>
      </c>
      <c r="G275" t="s">
        <v>9</v>
      </c>
      <c r="H275" t="s">
        <v>10</v>
      </c>
      <c r="I275" t="str">
        <f>IF(Table1[[#This Row],[Income]]&lt;=30000, "Low Income", IF(Table1[[#This Row],[Income]]&lt;=60000,"Medium Income","High Income"))</f>
        <v>Low Income</v>
      </c>
      <c r="J275" s="1">
        <f>Table1[[#This Row],[LoanAmount]]/Table1[[#This Row],[Income]]</f>
        <v>0.11058114244285878</v>
      </c>
    </row>
    <row r="276" spans="1:10" x14ac:dyDescent="0.3">
      <c r="A276">
        <v>334</v>
      </c>
      <c r="B276">
        <v>48</v>
      </c>
      <c r="C276" t="s">
        <v>11</v>
      </c>
      <c r="D276">
        <v>71269</v>
      </c>
      <c r="E276">
        <v>5135</v>
      </c>
      <c r="F276">
        <v>655</v>
      </c>
      <c r="G276" t="s">
        <v>9</v>
      </c>
      <c r="H276" t="s">
        <v>13</v>
      </c>
      <c r="I276" t="str">
        <f>IF(Table1[[#This Row],[Income]]&lt;=30000, "Low Income", IF(Table1[[#This Row],[Income]]&lt;=60000,"Medium Income","High Income"))</f>
        <v>High Income</v>
      </c>
      <c r="J276" s="1">
        <f>Table1[[#This Row],[LoanAmount]]/Table1[[#This Row],[Income]]</f>
        <v>7.2050961848770148E-2</v>
      </c>
    </row>
    <row r="277" spans="1:10" x14ac:dyDescent="0.3">
      <c r="A277">
        <v>335</v>
      </c>
      <c r="B277">
        <v>54</v>
      </c>
      <c r="C277" t="s">
        <v>8</v>
      </c>
      <c r="D277">
        <v>75233</v>
      </c>
      <c r="E277">
        <v>7629</v>
      </c>
      <c r="F277">
        <v>538</v>
      </c>
      <c r="G277" t="s">
        <v>9</v>
      </c>
      <c r="H277" t="s">
        <v>10</v>
      </c>
      <c r="I277" t="str">
        <f>IF(Table1[[#This Row],[Income]]&lt;=30000, "Low Income", IF(Table1[[#This Row],[Income]]&lt;=60000,"Medium Income","High Income"))</f>
        <v>High Income</v>
      </c>
      <c r="J277" s="1">
        <f>Table1[[#This Row],[LoanAmount]]/Table1[[#This Row],[Income]]</f>
        <v>0.10140496856432682</v>
      </c>
    </row>
    <row r="278" spans="1:10" x14ac:dyDescent="0.3">
      <c r="A278">
        <v>336</v>
      </c>
      <c r="B278">
        <v>22</v>
      </c>
      <c r="C278" t="s">
        <v>11</v>
      </c>
      <c r="D278">
        <v>40537</v>
      </c>
      <c r="E278">
        <v>12168</v>
      </c>
      <c r="F278">
        <v>711</v>
      </c>
      <c r="G278" t="s">
        <v>12</v>
      </c>
      <c r="H278" t="s">
        <v>13</v>
      </c>
      <c r="I278" t="str">
        <f>IF(Table1[[#This Row],[Income]]&lt;=30000, "Low Income", IF(Table1[[#This Row],[Income]]&lt;=60000,"Medium Income","High Income"))</f>
        <v>Medium Income</v>
      </c>
      <c r="J278" s="1">
        <f>Table1[[#This Row],[LoanAmount]]/Table1[[#This Row],[Income]]</f>
        <v>0.30017021486543161</v>
      </c>
    </row>
    <row r="279" spans="1:10" x14ac:dyDescent="0.3">
      <c r="A279">
        <v>337</v>
      </c>
      <c r="B279">
        <v>52</v>
      </c>
      <c r="C279" t="s">
        <v>11</v>
      </c>
      <c r="D279">
        <v>50757</v>
      </c>
      <c r="E279">
        <v>1612</v>
      </c>
      <c r="F279">
        <v>834</v>
      </c>
      <c r="G279" t="s">
        <v>12</v>
      </c>
      <c r="H279" t="s">
        <v>14</v>
      </c>
      <c r="I279" t="str">
        <f>IF(Table1[[#This Row],[Income]]&lt;=30000, "Low Income", IF(Table1[[#This Row],[Income]]&lt;=60000,"Medium Income","High Income"))</f>
        <v>Medium Income</v>
      </c>
      <c r="J279" s="1">
        <f>Table1[[#This Row],[LoanAmount]]/Table1[[#This Row],[Income]]</f>
        <v>3.1759166223378058E-2</v>
      </c>
    </row>
    <row r="280" spans="1:10" x14ac:dyDescent="0.3">
      <c r="A280">
        <v>338</v>
      </c>
      <c r="B280">
        <v>43</v>
      </c>
      <c r="C280" t="s">
        <v>11</v>
      </c>
      <c r="D280">
        <v>27040</v>
      </c>
      <c r="E280">
        <v>15203</v>
      </c>
      <c r="F280">
        <v>548</v>
      </c>
      <c r="G280" t="s">
        <v>9</v>
      </c>
      <c r="H280" t="s">
        <v>10</v>
      </c>
      <c r="I280" t="str">
        <f>IF(Table1[[#This Row],[Income]]&lt;=30000, "Low Income", IF(Table1[[#This Row],[Income]]&lt;=60000,"Medium Income","High Income"))</f>
        <v>Low Income</v>
      </c>
      <c r="J280" s="1">
        <f>Table1[[#This Row],[LoanAmount]]/Table1[[#This Row],[Income]]</f>
        <v>0.562241124260355</v>
      </c>
    </row>
    <row r="281" spans="1:10" x14ac:dyDescent="0.3">
      <c r="A281">
        <v>340</v>
      </c>
      <c r="B281">
        <v>45</v>
      </c>
      <c r="C281" t="s">
        <v>11</v>
      </c>
      <c r="D281">
        <v>37612</v>
      </c>
      <c r="E281">
        <v>3307</v>
      </c>
      <c r="F281">
        <v>475</v>
      </c>
      <c r="G281" t="s">
        <v>9</v>
      </c>
      <c r="H281" t="s">
        <v>10</v>
      </c>
      <c r="I281" t="str">
        <f>IF(Table1[[#This Row],[Income]]&lt;=30000, "Low Income", IF(Table1[[#This Row],[Income]]&lt;=60000,"Medium Income","High Income"))</f>
        <v>Medium Income</v>
      </c>
      <c r="J281" s="1">
        <f>Table1[[#This Row],[LoanAmount]]/Table1[[#This Row],[Income]]</f>
        <v>8.7924066787195582E-2</v>
      </c>
    </row>
    <row r="282" spans="1:10" x14ac:dyDescent="0.3">
      <c r="A282">
        <v>341</v>
      </c>
      <c r="B282">
        <v>42</v>
      </c>
      <c r="C282" t="s">
        <v>8</v>
      </c>
      <c r="D282">
        <v>43441</v>
      </c>
      <c r="E282">
        <v>8133</v>
      </c>
      <c r="F282">
        <v>681</v>
      </c>
      <c r="G282" t="s">
        <v>12</v>
      </c>
      <c r="H282" t="s">
        <v>13</v>
      </c>
      <c r="I282" t="str">
        <f>IF(Table1[[#This Row],[Income]]&lt;=30000, "Low Income", IF(Table1[[#This Row],[Income]]&lt;=60000,"Medium Income","High Income"))</f>
        <v>Medium Income</v>
      </c>
      <c r="J282" s="1">
        <f>Table1[[#This Row],[LoanAmount]]/Table1[[#This Row],[Income]]</f>
        <v>0.18721944706613569</v>
      </c>
    </row>
    <row r="283" spans="1:10" x14ac:dyDescent="0.3">
      <c r="A283">
        <v>343</v>
      </c>
      <c r="B283">
        <v>26</v>
      </c>
      <c r="C283" t="s">
        <v>11</v>
      </c>
      <c r="D283">
        <v>50631</v>
      </c>
      <c r="E283">
        <v>6906</v>
      </c>
      <c r="F283">
        <v>802</v>
      </c>
      <c r="G283" t="s">
        <v>12</v>
      </c>
      <c r="H283" t="s">
        <v>14</v>
      </c>
      <c r="I283" t="str">
        <f>IF(Table1[[#This Row],[Income]]&lt;=30000, "Low Income", IF(Table1[[#This Row],[Income]]&lt;=60000,"Medium Income","High Income"))</f>
        <v>Medium Income</v>
      </c>
      <c r="J283" s="1">
        <f>Table1[[#This Row],[LoanAmount]]/Table1[[#This Row],[Income]]</f>
        <v>0.13639864904900159</v>
      </c>
    </row>
    <row r="284" spans="1:10" x14ac:dyDescent="0.3">
      <c r="A284">
        <v>344</v>
      </c>
      <c r="B284">
        <v>35</v>
      </c>
      <c r="C284" t="s">
        <v>11</v>
      </c>
      <c r="D284">
        <v>77913</v>
      </c>
      <c r="E284">
        <v>3591</v>
      </c>
      <c r="F284">
        <v>508</v>
      </c>
      <c r="G284" t="s">
        <v>9</v>
      </c>
      <c r="H284" t="s">
        <v>10</v>
      </c>
      <c r="I284" t="str">
        <f>IF(Table1[[#This Row],[Income]]&lt;=30000, "Low Income", IF(Table1[[#This Row],[Income]]&lt;=60000,"Medium Income","High Income"))</f>
        <v>High Income</v>
      </c>
      <c r="J284" s="1">
        <f>Table1[[#This Row],[LoanAmount]]/Table1[[#This Row],[Income]]</f>
        <v>4.6089869469793231E-2</v>
      </c>
    </row>
    <row r="285" spans="1:10" x14ac:dyDescent="0.3">
      <c r="A285">
        <v>345</v>
      </c>
      <c r="B285">
        <v>57</v>
      </c>
      <c r="C285" t="s">
        <v>11</v>
      </c>
      <c r="D285">
        <v>58461</v>
      </c>
      <c r="E285">
        <v>16149</v>
      </c>
      <c r="F285">
        <v>587</v>
      </c>
      <c r="G285" t="s">
        <v>9</v>
      </c>
      <c r="H285" t="s">
        <v>10</v>
      </c>
      <c r="I285" t="str">
        <f>IF(Table1[[#This Row],[Income]]&lt;=30000, "Low Income", IF(Table1[[#This Row],[Income]]&lt;=60000,"Medium Income","High Income"))</f>
        <v>Medium Income</v>
      </c>
      <c r="J285" s="1">
        <f>Table1[[#This Row],[LoanAmount]]/Table1[[#This Row],[Income]]</f>
        <v>0.27623543901062247</v>
      </c>
    </row>
    <row r="286" spans="1:10" x14ac:dyDescent="0.3">
      <c r="A286">
        <v>346</v>
      </c>
      <c r="B286">
        <v>53</v>
      </c>
      <c r="C286" t="s">
        <v>8</v>
      </c>
      <c r="D286">
        <v>41523</v>
      </c>
      <c r="E286">
        <v>13150</v>
      </c>
      <c r="F286">
        <v>598</v>
      </c>
      <c r="G286" t="s">
        <v>9</v>
      </c>
      <c r="H286" t="s">
        <v>10</v>
      </c>
      <c r="I286" t="str">
        <f>IF(Table1[[#This Row],[Income]]&lt;=30000, "Low Income", IF(Table1[[#This Row],[Income]]&lt;=60000,"Medium Income","High Income"))</f>
        <v>Medium Income</v>
      </c>
      <c r="J286" s="1">
        <f>Table1[[#This Row],[LoanAmount]]/Table1[[#This Row],[Income]]</f>
        <v>0.31669195385689858</v>
      </c>
    </row>
    <row r="287" spans="1:10" x14ac:dyDescent="0.3">
      <c r="A287">
        <v>347</v>
      </c>
      <c r="B287">
        <v>28</v>
      </c>
      <c r="C287" t="s">
        <v>8</v>
      </c>
      <c r="D287">
        <v>46348</v>
      </c>
      <c r="E287">
        <v>8183</v>
      </c>
      <c r="F287">
        <v>702</v>
      </c>
      <c r="G287" t="s">
        <v>12</v>
      </c>
      <c r="H287" t="s">
        <v>13</v>
      </c>
      <c r="I287" t="str">
        <f>IF(Table1[[#This Row],[Income]]&lt;=30000, "Low Income", IF(Table1[[#This Row],[Income]]&lt;=60000,"Medium Income","High Income"))</f>
        <v>Medium Income</v>
      </c>
      <c r="J287" s="1">
        <f>Table1[[#This Row],[LoanAmount]]/Table1[[#This Row],[Income]]</f>
        <v>0.17655562268059033</v>
      </c>
    </row>
    <row r="288" spans="1:10" x14ac:dyDescent="0.3">
      <c r="A288">
        <v>348</v>
      </c>
      <c r="B288">
        <v>25</v>
      </c>
      <c r="C288" t="s">
        <v>8</v>
      </c>
      <c r="D288">
        <v>79732</v>
      </c>
      <c r="E288">
        <v>11102</v>
      </c>
      <c r="F288">
        <v>726</v>
      </c>
      <c r="G288" t="s">
        <v>12</v>
      </c>
      <c r="H288" t="s">
        <v>13</v>
      </c>
      <c r="I288" t="str">
        <f>IF(Table1[[#This Row],[Income]]&lt;=30000, "Low Income", IF(Table1[[#This Row],[Income]]&lt;=60000,"Medium Income","High Income"))</f>
        <v>High Income</v>
      </c>
      <c r="J288" s="1">
        <f>Table1[[#This Row],[LoanAmount]]/Table1[[#This Row],[Income]]</f>
        <v>0.13924145888727235</v>
      </c>
    </row>
    <row r="289" spans="1:10" x14ac:dyDescent="0.3">
      <c r="A289">
        <v>349</v>
      </c>
      <c r="B289">
        <v>59</v>
      </c>
      <c r="C289" t="s">
        <v>8</v>
      </c>
      <c r="D289">
        <v>16177</v>
      </c>
      <c r="E289">
        <v>18053</v>
      </c>
      <c r="F289">
        <v>553</v>
      </c>
      <c r="G289" t="s">
        <v>9</v>
      </c>
      <c r="H289" t="s">
        <v>10</v>
      </c>
      <c r="I289" t="str">
        <f>IF(Table1[[#This Row],[Income]]&lt;=30000, "Low Income", IF(Table1[[#This Row],[Income]]&lt;=60000,"Medium Income","High Income"))</f>
        <v>Low Income</v>
      </c>
      <c r="J289" s="1">
        <f>Table1[[#This Row],[LoanAmount]]/Table1[[#This Row],[Income]]</f>
        <v>1.1159671138035483</v>
      </c>
    </row>
    <row r="290" spans="1:10" x14ac:dyDescent="0.3">
      <c r="A290">
        <v>350</v>
      </c>
      <c r="B290">
        <v>24</v>
      </c>
      <c r="C290" t="s">
        <v>11</v>
      </c>
      <c r="D290">
        <v>19760</v>
      </c>
      <c r="E290">
        <v>2283</v>
      </c>
      <c r="F290">
        <v>439</v>
      </c>
      <c r="G290" t="s">
        <v>9</v>
      </c>
      <c r="H290" t="s">
        <v>10</v>
      </c>
      <c r="I290" t="str">
        <f>IF(Table1[[#This Row],[Income]]&lt;=30000, "Low Income", IF(Table1[[#This Row],[Income]]&lt;=60000,"Medium Income","High Income"))</f>
        <v>Low Income</v>
      </c>
      <c r="J290" s="1">
        <f>Table1[[#This Row],[LoanAmount]]/Table1[[#This Row],[Income]]</f>
        <v>0.11553643724696357</v>
      </c>
    </row>
    <row r="291" spans="1:10" x14ac:dyDescent="0.3">
      <c r="A291">
        <v>351</v>
      </c>
      <c r="B291">
        <v>26</v>
      </c>
      <c r="C291" t="s">
        <v>8</v>
      </c>
      <c r="D291">
        <v>47779</v>
      </c>
      <c r="E291">
        <v>1923</v>
      </c>
      <c r="F291">
        <v>532</v>
      </c>
      <c r="G291" t="s">
        <v>9</v>
      </c>
      <c r="H291" t="s">
        <v>10</v>
      </c>
      <c r="I291" t="str">
        <f>IF(Table1[[#This Row],[Income]]&lt;=30000, "Low Income", IF(Table1[[#This Row],[Income]]&lt;=60000,"Medium Income","High Income"))</f>
        <v>Medium Income</v>
      </c>
      <c r="J291" s="1">
        <f>Table1[[#This Row],[LoanAmount]]/Table1[[#This Row],[Income]]</f>
        <v>4.0247807614223821E-2</v>
      </c>
    </row>
    <row r="292" spans="1:10" x14ac:dyDescent="0.3">
      <c r="A292">
        <v>354</v>
      </c>
      <c r="B292">
        <v>55</v>
      </c>
      <c r="C292" t="s">
        <v>11</v>
      </c>
      <c r="D292">
        <v>68551</v>
      </c>
      <c r="E292">
        <v>9438</v>
      </c>
      <c r="F292">
        <v>678</v>
      </c>
      <c r="G292" t="s">
        <v>9</v>
      </c>
      <c r="H292" t="s">
        <v>13</v>
      </c>
      <c r="I292" t="str">
        <f>IF(Table1[[#This Row],[Income]]&lt;=30000, "Low Income", IF(Table1[[#This Row],[Income]]&lt;=60000,"Medium Income","High Income"))</f>
        <v>High Income</v>
      </c>
      <c r="J292" s="1">
        <f>Table1[[#This Row],[LoanAmount]]/Table1[[#This Row],[Income]]</f>
        <v>0.13767851672477427</v>
      </c>
    </row>
    <row r="293" spans="1:10" x14ac:dyDescent="0.3">
      <c r="A293">
        <v>355</v>
      </c>
      <c r="B293">
        <v>36</v>
      </c>
      <c r="C293" t="s">
        <v>11</v>
      </c>
      <c r="D293">
        <v>26556</v>
      </c>
      <c r="E293">
        <v>17154</v>
      </c>
      <c r="F293">
        <v>761</v>
      </c>
      <c r="G293" t="s">
        <v>9</v>
      </c>
      <c r="H293" t="s">
        <v>14</v>
      </c>
      <c r="I293" t="str">
        <f>IF(Table1[[#This Row],[Income]]&lt;=30000, "Low Income", IF(Table1[[#This Row],[Income]]&lt;=60000,"Medium Income","High Income"))</f>
        <v>Low Income</v>
      </c>
      <c r="J293" s="1">
        <f>Table1[[#This Row],[LoanAmount]]/Table1[[#This Row],[Income]]</f>
        <v>0.64595571622232262</v>
      </c>
    </row>
    <row r="294" spans="1:10" x14ac:dyDescent="0.3">
      <c r="A294">
        <v>356</v>
      </c>
      <c r="B294">
        <v>33</v>
      </c>
      <c r="C294" t="s">
        <v>11</v>
      </c>
      <c r="D294">
        <v>42598</v>
      </c>
      <c r="E294">
        <v>9004</v>
      </c>
      <c r="F294">
        <v>483</v>
      </c>
      <c r="G294" t="s">
        <v>9</v>
      </c>
      <c r="H294" t="s">
        <v>10</v>
      </c>
      <c r="I294" t="str">
        <f>IF(Table1[[#This Row],[Income]]&lt;=30000, "Low Income", IF(Table1[[#This Row],[Income]]&lt;=60000,"Medium Income","High Income"))</f>
        <v>Medium Income</v>
      </c>
      <c r="J294" s="1">
        <f>Table1[[#This Row],[LoanAmount]]/Table1[[#This Row],[Income]]</f>
        <v>0.21137142588853935</v>
      </c>
    </row>
    <row r="295" spans="1:10" x14ac:dyDescent="0.3">
      <c r="A295">
        <v>357</v>
      </c>
      <c r="B295">
        <v>50</v>
      </c>
      <c r="C295" t="s">
        <v>8</v>
      </c>
      <c r="D295">
        <v>26563</v>
      </c>
      <c r="E295">
        <v>10752</v>
      </c>
      <c r="F295">
        <v>798</v>
      </c>
      <c r="G295" t="s">
        <v>9</v>
      </c>
      <c r="H295" t="s">
        <v>14</v>
      </c>
      <c r="I295" t="str">
        <f>IF(Table1[[#This Row],[Income]]&lt;=30000, "Low Income", IF(Table1[[#This Row],[Income]]&lt;=60000,"Medium Income","High Income"))</f>
        <v>Low Income</v>
      </c>
      <c r="J295" s="1">
        <f>Table1[[#This Row],[LoanAmount]]/Table1[[#This Row],[Income]]</f>
        <v>0.40477355720362912</v>
      </c>
    </row>
    <row r="296" spans="1:10" x14ac:dyDescent="0.3">
      <c r="A296">
        <v>358</v>
      </c>
      <c r="B296">
        <v>39</v>
      </c>
      <c r="C296" t="s">
        <v>8</v>
      </c>
      <c r="D296">
        <v>48500</v>
      </c>
      <c r="E296">
        <v>11592</v>
      </c>
      <c r="F296">
        <v>641</v>
      </c>
      <c r="G296" t="s">
        <v>9</v>
      </c>
      <c r="H296" t="s">
        <v>10</v>
      </c>
      <c r="I296" t="str">
        <f>IF(Table1[[#This Row],[Income]]&lt;=30000, "Low Income", IF(Table1[[#This Row],[Income]]&lt;=60000,"Medium Income","High Income"))</f>
        <v>Medium Income</v>
      </c>
      <c r="J296" s="1">
        <f>Table1[[#This Row],[LoanAmount]]/Table1[[#This Row],[Income]]</f>
        <v>0.23901030927835051</v>
      </c>
    </row>
    <row r="297" spans="1:10" x14ac:dyDescent="0.3">
      <c r="A297">
        <v>359</v>
      </c>
      <c r="B297">
        <v>37</v>
      </c>
      <c r="C297" t="s">
        <v>8</v>
      </c>
      <c r="D297">
        <v>58790</v>
      </c>
      <c r="E297">
        <v>4864</v>
      </c>
      <c r="F297">
        <v>515</v>
      </c>
      <c r="G297" t="s">
        <v>9</v>
      </c>
      <c r="H297" t="s">
        <v>10</v>
      </c>
      <c r="I297" t="str">
        <f>IF(Table1[[#This Row],[Income]]&lt;=30000, "Low Income", IF(Table1[[#This Row],[Income]]&lt;=60000,"Medium Income","High Income"))</f>
        <v>Medium Income</v>
      </c>
      <c r="J297" s="1">
        <f>Table1[[#This Row],[LoanAmount]]/Table1[[#This Row],[Income]]</f>
        <v>8.2735159040653178E-2</v>
      </c>
    </row>
    <row r="298" spans="1:10" x14ac:dyDescent="0.3">
      <c r="A298">
        <v>360</v>
      </c>
      <c r="B298">
        <v>39</v>
      </c>
      <c r="C298" t="s">
        <v>8</v>
      </c>
      <c r="D298">
        <v>23234</v>
      </c>
      <c r="E298">
        <v>1226</v>
      </c>
      <c r="F298">
        <v>508</v>
      </c>
      <c r="G298" t="s">
        <v>9</v>
      </c>
      <c r="H298" t="s">
        <v>10</v>
      </c>
      <c r="I298" t="str">
        <f>IF(Table1[[#This Row],[Income]]&lt;=30000, "Low Income", IF(Table1[[#This Row],[Income]]&lt;=60000,"Medium Income","High Income"))</f>
        <v>Low Income</v>
      </c>
      <c r="J298" s="1">
        <f>Table1[[#This Row],[LoanAmount]]/Table1[[#This Row],[Income]]</f>
        <v>5.2767495911164669E-2</v>
      </c>
    </row>
    <row r="299" spans="1:10" x14ac:dyDescent="0.3">
      <c r="A299">
        <v>361</v>
      </c>
      <c r="B299">
        <v>48</v>
      </c>
      <c r="C299" t="s">
        <v>11</v>
      </c>
      <c r="D299">
        <v>40519</v>
      </c>
      <c r="E299">
        <v>16036</v>
      </c>
      <c r="F299">
        <v>620</v>
      </c>
      <c r="G299" t="s">
        <v>9</v>
      </c>
      <c r="H299" t="s">
        <v>10</v>
      </c>
      <c r="I299" t="str">
        <f>IF(Table1[[#This Row],[Income]]&lt;=30000, "Low Income", IF(Table1[[#This Row],[Income]]&lt;=60000,"Medium Income","High Income"))</f>
        <v>Medium Income</v>
      </c>
      <c r="J299" s="1">
        <f>Table1[[#This Row],[LoanAmount]]/Table1[[#This Row],[Income]]</f>
        <v>0.395764949776648</v>
      </c>
    </row>
    <row r="300" spans="1:10" x14ac:dyDescent="0.3">
      <c r="A300">
        <v>362</v>
      </c>
      <c r="B300">
        <v>46</v>
      </c>
      <c r="C300" t="s">
        <v>8</v>
      </c>
      <c r="D300">
        <v>41966</v>
      </c>
      <c r="E300">
        <v>12739</v>
      </c>
      <c r="F300">
        <v>791</v>
      </c>
      <c r="G300" t="s">
        <v>12</v>
      </c>
      <c r="H300" t="s">
        <v>14</v>
      </c>
      <c r="I300" t="str">
        <f>IF(Table1[[#This Row],[Income]]&lt;=30000, "Low Income", IF(Table1[[#This Row],[Income]]&lt;=60000,"Medium Income","High Income"))</f>
        <v>Medium Income</v>
      </c>
      <c r="J300" s="1">
        <f>Table1[[#This Row],[LoanAmount]]/Table1[[#This Row],[Income]]</f>
        <v>0.30355525901920605</v>
      </c>
    </row>
    <row r="301" spans="1:10" x14ac:dyDescent="0.3">
      <c r="A301">
        <v>364</v>
      </c>
      <c r="B301">
        <v>46</v>
      </c>
      <c r="C301" t="s">
        <v>8</v>
      </c>
      <c r="D301">
        <v>31173</v>
      </c>
      <c r="E301">
        <v>10587</v>
      </c>
      <c r="F301">
        <v>767</v>
      </c>
      <c r="G301" t="s">
        <v>12</v>
      </c>
      <c r="H301" t="s">
        <v>14</v>
      </c>
      <c r="I301" t="str">
        <f>IF(Table1[[#This Row],[Income]]&lt;=30000, "Low Income", IF(Table1[[#This Row],[Income]]&lt;=60000,"Medium Income","High Income"))</f>
        <v>Medium Income</v>
      </c>
      <c r="J301" s="1">
        <f>Table1[[#This Row],[LoanAmount]]/Table1[[#This Row],[Income]]</f>
        <v>0.3396208257145607</v>
      </c>
    </row>
    <row r="302" spans="1:10" x14ac:dyDescent="0.3">
      <c r="A302">
        <v>366</v>
      </c>
      <c r="B302">
        <v>29</v>
      </c>
      <c r="C302" t="s">
        <v>11</v>
      </c>
      <c r="D302">
        <v>41987</v>
      </c>
      <c r="E302">
        <v>1645</v>
      </c>
      <c r="F302">
        <v>511</v>
      </c>
      <c r="G302" t="s">
        <v>9</v>
      </c>
      <c r="H302" t="s">
        <v>10</v>
      </c>
      <c r="I302" t="str">
        <f>IF(Table1[[#This Row],[Income]]&lt;=30000, "Low Income", IF(Table1[[#This Row],[Income]]&lt;=60000,"Medium Income","High Income"))</f>
        <v>Medium Income</v>
      </c>
      <c r="J302" s="1">
        <f>Table1[[#This Row],[LoanAmount]]/Table1[[#This Row],[Income]]</f>
        <v>3.9178793436063543E-2</v>
      </c>
    </row>
    <row r="303" spans="1:10" x14ac:dyDescent="0.3">
      <c r="A303">
        <v>367</v>
      </c>
      <c r="B303">
        <v>32</v>
      </c>
      <c r="C303" t="s">
        <v>8</v>
      </c>
      <c r="D303">
        <v>28178</v>
      </c>
      <c r="E303">
        <v>17299</v>
      </c>
      <c r="F303">
        <v>502</v>
      </c>
      <c r="G303" t="s">
        <v>9</v>
      </c>
      <c r="H303" t="s">
        <v>10</v>
      </c>
      <c r="I303" t="str">
        <f>IF(Table1[[#This Row],[Income]]&lt;=30000, "Low Income", IF(Table1[[#This Row],[Income]]&lt;=60000,"Medium Income","High Income"))</f>
        <v>Low Income</v>
      </c>
      <c r="J303" s="1">
        <f>Table1[[#This Row],[LoanAmount]]/Table1[[#This Row],[Income]]</f>
        <v>0.61391865994747674</v>
      </c>
    </row>
    <row r="304" spans="1:10" x14ac:dyDescent="0.3">
      <c r="A304">
        <v>368</v>
      </c>
      <c r="B304">
        <v>21</v>
      </c>
      <c r="C304" t="s">
        <v>11</v>
      </c>
      <c r="D304">
        <v>54338</v>
      </c>
      <c r="E304">
        <v>14675</v>
      </c>
      <c r="F304">
        <v>445</v>
      </c>
      <c r="G304" t="s">
        <v>9</v>
      </c>
      <c r="H304" t="s">
        <v>10</v>
      </c>
      <c r="I304" t="str">
        <f>IF(Table1[[#This Row],[Income]]&lt;=30000, "Low Income", IF(Table1[[#This Row],[Income]]&lt;=60000,"Medium Income","High Income"))</f>
        <v>Medium Income</v>
      </c>
      <c r="J304" s="1">
        <f>Table1[[#This Row],[LoanAmount]]/Table1[[#This Row],[Income]]</f>
        <v>0.27006882844418273</v>
      </c>
    </row>
    <row r="305" spans="1:10" x14ac:dyDescent="0.3">
      <c r="A305">
        <v>369</v>
      </c>
      <c r="B305">
        <v>21</v>
      </c>
      <c r="C305" t="s">
        <v>11</v>
      </c>
      <c r="D305">
        <v>73348</v>
      </c>
      <c r="E305">
        <v>19888</v>
      </c>
      <c r="F305">
        <v>811</v>
      </c>
      <c r="G305" t="s">
        <v>12</v>
      </c>
      <c r="H305" t="s">
        <v>14</v>
      </c>
      <c r="I305" t="str">
        <f>IF(Table1[[#This Row],[Income]]&lt;=30000, "Low Income", IF(Table1[[#This Row],[Income]]&lt;=60000,"Medium Income","High Income"))</f>
        <v>High Income</v>
      </c>
      <c r="J305" s="1">
        <f>Table1[[#This Row],[LoanAmount]]/Table1[[#This Row],[Income]]</f>
        <v>0.27114577084583086</v>
      </c>
    </row>
    <row r="306" spans="1:10" x14ac:dyDescent="0.3">
      <c r="A306">
        <v>370</v>
      </c>
      <c r="B306">
        <v>54</v>
      </c>
      <c r="C306" t="s">
        <v>8</v>
      </c>
      <c r="D306">
        <v>39596</v>
      </c>
      <c r="E306">
        <v>11964</v>
      </c>
      <c r="F306">
        <v>723</v>
      </c>
      <c r="G306" t="s">
        <v>12</v>
      </c>
      <c r="H306" t="s">
        <v>13</v>
      </c>
      <c r="I306" t="str">
        <f>IF(Table1[[#This Row],[Income]]&lt;=30000, "Low Income", IF(Table1[[#This Row],[Income]]&lt;=60000,"Medium Income","High Income"))</f>
        <v>Medium Income</v>
      </c>
      <c r="J306" s="1">
        <f>Table1[[#This Row],[LoanAmount]]/Table1[[#This Row],[Income]]</f>
        <v>0.30215173249823213</v>
      </c>
    </row>
    <row r="307" spans="1:10" x14ac:dyDescent="0.3">
      <c r="A307">
        <v>371</v>
      </c>
      <c r="B307">
        <v>52</v>
      </c>
      <c r="C307" t="s">
        <v>11</v>
      </c>
      <c r="D307">
        <v>48174</v>
      </c>
      <c r="E307">
        <v>17087</v>
      </c>
      <c r="F307">
        <v>777</v>
      </c>
      <c r="G307" t="s">
        <v>12</v>
      </c>
      <c r="H307" t="s">
        <v>14</v>
      </c>
      <c r="I307" t="str">
        <f>IF(Table1[[#This Row],[Income]]&lt;=30000, "Low Income", IF(Table1[[#This Row],[Income]]&lt;=60000,"Medium Income","High Income"))</f>
        <v>Medium Income</v>
      </c>
      <c r="J307" s="1">
        <f>Table1[[#This Row],[LoanAmount]]/Table1[[#This Row],[Income]]</f>
        <v>0.35469340308049985</v>
      </c>
    </row>
    <row r="308" spans="1:10" x14ac:dyDescent="0.3">
      <c r="A308">
        <v>372</v>
      </c>
      <c r="B308">
        <v>45</v>
      </c>
      <c r="C308" t="s">
        <v>8</v>
      </c>
      <c r="D308">
        <v>79106</v>
      </c>
      <c r="E308">
        <v>14537</v>
      </c>
      <c r="F308">
        <v>670</v>
      </c>
      <c r="G308" t="s">
        <v>9</v>
      </c>
      <c r="H308" t="s">
        <v>13</v>
      </c>
      <c r="I308" t="str">
        <f>IF(Table1[[#This Row],[Income]]&lt;=30000, "Low Income", IF(Table1[[#This Row],[Income]]&lt;=60000,"Medium Income","High Income"))</f>
        <v>High Income</v>
      </c>
      <c r="J308" s="1">
        <f>Table1[[#This Row],[LoanAmount]]/Table1[[#This Row],[Income]]</f>
        <v>0.18376608601117489</v>
      </c>
    </row>
    <row r="309" spans="1:10" x14ac:dyDescent="0.3">
      <c r="A309">
        <v>373</v>
      </c>
      <c r="B309">
        <v>21</v>
      </c>
      <c r="C309" t="s">
        <v>8</v>
      </c>
      <c r="D309">
        <v>56974</v>
      </c>
      <c r="E309">
        <v>14269</v>
      </c>
      <c r="F309">
        <v>820</v>
      </c>
      <c r="G309" t="s">
        <v>12</v>
      </c>
      <c r="H309" t="s">
        <v>14</v>
      </c>
      <c r="I309" t="str">
        <f>IF(Table1[[#This Row],[Income]]&lt;=30000, "Low Income", IF(Table1[[#This Row],[Income]]&lt;=60000,"Medium Income","High Income"))</f>
        <v>Medium Income</v>
      </c>
      <c r="J309" s="1">
        <f>Table1[[#This Row],[LoanAmount]]/Table1[[#This Row],[Income]]</f>
        <v>0.25044757257696493</v>
      </c>
    </row>
    <row r="310" spans="1:10" x14ac:dyDescent="0.3">
      <c r="A310">
        <v>374</v>
      </c>
      <c r="B310">
        <v>36</v>
      </c>
      <c r="C310" t="s">
        <v>8</v>
      </c>
      <c r="D310">
        <v>19431</v>
      </c>
      <c r="E310">
        <v>10346</v>
      </c>
      <c r="F310">
        <v>784</v>
      </c>
      <c r="G310" t="s">
        <v>9</v>
      </c>
      <c r="H310" t="s">
        <v>14</v>
      </c>
      <c r="I310" t="str">
        <f>IF(Table1[[#This Row],[Income]]&lt;=30000, "Low Income", IF(Table1[[#This Row],[Income]]&lt;=60000,"Medium Income","High Income"))</f>
        <v>Low Income</v>
      </c>
      <c r="J310" s="1">
        <f>Table1[[#This Row],[LoanAmount]]/Table1[[#This Row],[Income]]</f>
        <v>0.53244814986361999</v>
      </c>
    </row>
    <row r="311" spans="1:10" x14ac:dyDescent="0.3">
      <c r="A311">
        <v>375</v>
      </c>
      <c r="B311">
        <v>59</v>
      </c>
      <c r="C311" t="s">
        <v>11</v>
      </c>
      <c r="D311">
        <v>74182</v>
      </c>
      <c r="E311">
        <v>1587</v>
      </c>
      <c r="F311">
        <v>594</v>
      </c>
      <c r="G311" t="s">
        <v>9</v>
      </c>
      <c r="H311" t="s">
        <v>10</v>
      </c>
      <c r="I311" t="str">
        <f>IF(Table1[[#This Row],[Income]]&lt;=30000, "Low Income", IF(Table1[[#This Row],[Income]]&lt;=60000,"Medium Income","High Income"))</f>
        <v>High Income</v>
      </c>
      <c r="J311" s="1">
        <f>Table1[[#This Row],[LoanAmount]]/Table1[[#This Row],[Income]]</f>
        <v>2.1393329918309025E-2</v>
      </c>
    </row>
    <row r="312" spans="1:10" x14ac:dyDescent="0.3">
      <c r="A312">
        <v>376</v>
      </c>
      <c r="B312">
        <v>25</v>
      </c>
      <c r="C312" t="s">
        <v>11</v>
      </c>
      <c r="D312">
        <v>42764</v>
      </c>
      <c r="E312">
        <v>13763</v>
      </c>
      <c r="F312">
        <v>766</v>
      </c>
      <c r="G312" t="s">
        <v>12</v>
      </c>
      <c r="H312" t="s">
        <v>14</v>
      </c>
      <c r="I312" t="str">
        <f>IF(Table1[[#This Row],[Income]]&lt;=30000, "Low Income", IF(Table1[[#This Row],[Income]]&lt;=60000,"Medium Income","High Income"))</f>
        <v>Medium Income</v>
      </c>
      <c r="J312" s="1">
        <f>Table1[[#This Row],[LoanAmount]]/Table1[[#This Row],[Income]]</f>
        <v>0.32183612384248433</v>
      </c>
    </row>
    <row r="313" spans="1:10" x14ac:dyDescent="0.3">
      <c r="A313">
        <v>378</v>
      </c>
      <c r="B313">
        <v>49</v>
      </c>
      <c r="C313" t="s">
        <v>8</v>
      </c>
      <c r="D313">
        <v>54310</v>
      </c>
      <c r="E313">
        <v>5079</v>
      </c>
      <c r="F313">
        <v>682</v>
      </c>
      <c r="G313" t="s">
        <v>12</v>
      </c>
      <c r="H313" t="s">
        <v>13</v>
      </c>
      <c r="I313" t="str">
        <f>IF(Table1[[#This Row],[Income]]&lt;=30000, "Low Income", IF(Table1[[#This Row],[Income]]&lt;=60000,"Medium Income","High Income"))</f>
        <v>Medium Income</v>
      </c>
      <c r="J313" s="1">
        <f>Table1[[#This Row],[LoanAmount]]/Table1[[#This Row],[Income]]</f>
        <v>9.3518689007549255E-2</v>
      </c>
    </row>
    <row r="314" spans="1:10" x14ac:dyDescent="0.3">
      <c r="A314">
        <v>379</v>
      </c>
      <c r="B314">
        <v>23</v>
      </c>
      <c r="C314" t="s">
        <v>11</v>
      </c>
      <c r="D314">
        <v>48500</v>
      </c>
      <c r="E314">
        <v>4348</v>
      </c>
      <c r="F314">
        <v>439</v>
      </c>
      <c r="G314" t="s">
        <v>9</v>
      </c>
      <c r="H314" t="s">
        <v>10</v>
      </c>
      <c r="I314" t="str">
        <f>IF(Table1[[#This Row],[Income]]&lt;=30000, "Low Income", IF(Table1[[#This Row],[Income]]&lt;=60000,"Medium Income","High Income"))</f>
        <v>Medium Income</v>
      </c>
      <c r="J314" s="1">
        <f>Table1[[#This Row],[LoanAmount]]/Table1[[#This Row],[Income]]</f>
        <v>8.9649484536082472E-2</v>
      </c>
    </row>
    <row r="315" spans="1:10" x14ac:dyDescent="0.3">
      <c r="A315">
        <v>380</v>
      </c>
      <c r="B315">
        <v>32</v>
      </c>
      <c r="C315" t="s">
        <v>8</v>
      </c>
      <c r="D315">
        <v>78267</v>
      </c>
      <c r="E315">
        <v>19099</v>
      </c>
      <c r="F315">
        <v>846</v>
      </c>
      <c r="G315" t="s">
        <v>12</v>
      </c>
      <c r="H315" t="s">
        <v>14</v>
      </c>
      <c r="I315" t="str">
        <f>IF(Table1[[#This Row],[Income]]&lt;=30000, "Low Income", IF(Table1[[#This Row],[Income]]&lt;=60000,"Medium Income","High Income"))</f>
        <v>High Income</v>
      </c>
      <c r="J315" s="1">
        <f>Table1[[#This Row],[LoanAmount]]/Table1[[#This Row],[Income]]</f>
        <v>0.24402366259087482</v>
      </c>
    </row>
    <row r="316" spans="1:10" x14ac:dyDescent="0.3">
      <c r="A316">
        <v>381</v>
      </c>
      <c r="B316">
        <v>46</v>
      </c>
      <c r="C316" t="s">
        <v>8</v>
      </c>
      <c r="D316">
        <v>23906</v>
      </c>
      <c r="E316">
        <v>11785</v>
      </c>
      <c r="F316">
        <v>588</v>
      </c>
      <c r="G316" t="s">
        <v>9</v>
      </c>
      <c r="H316" t="s">
        <v>10</v>
      </c>
      <c r="I316" t="str">
        <f>IF(Table1[[#This Row],[Income]]&lt;=30000, "Low Income", IF(Table1[[#This Row],[Income]]&lt;=60000,"Medium Income","High Income"))</f>
        <v>Low Income</v>
      </c>
      <c r="J316" s="1">
        <f>Table1[[#This Row],[LoanAmount]]/Table1[[#This Row],[Income]]</f>
        <v>0.49297247552915585</v>
      </c>
    </row>
    <row r="317" spans="1:10" x14ac:dyDescent="0.3">
      <c r="A317">
        <v>383</v>
      </c>
      <c r="B317">
        <v>57</v>
      </c>
      <c r="C317" t="s">
        <v>8</v>
      </c>
      <c r="D317">
        <v>59814</v>
      </c>
      <c r="E317">
        <v>7450</v>
      </c>
      <c r="F317">
        <v>423</v>
      </c>
      <c r="G317" t="s">
        <v>9</v>
      </c>
      <c r="H317" t="s">
        <v>10</v>
      </c>
      <c r="I317" t="str">
        <f>IF(Table1[[#This Row],[Income]]&lt;=30000, "Low Income", IF(Table1[[#This Row],[Income]]&lt;=60000,"Medium Income","High Income"))</f>
        <v>Medium Income</v>
      </c>
      <c r="J317" s="1">
        <f>Table1[[#This Row],[LoanAmount]]/Table1[[#This Row],[Income]]</f>
        <v>0.12455278028555188</v>
      </c>
    </row>
    <row r="318" spans="1:10" x14ac:dyDescent="0.3">
      <c r="A318">
        <v>384</v>
      </c>
      <c r="B318">
        <v>42</v>
      </c>
      <c r="C318" t="s">
        <v>11</v>
      </c>
      <c r="D318">
        <v>60379</v>
      </c>
      <c r="E318">
        <v>14230</v>
      </c>
      <c r="F318">
        <v>423</v>
      </c>
      <c r="G318" t="s">
        <v>9</v>
      </c>
      <c r="H318" t="s">
        <v>10</v>
      </c>
      <c r="I318" t="str">
        <f>IF(Table1[[#This Row],[Income]]&lt;=30000, "Low Income", IF(Table1[[#This Row],[Income]]&lt;=60000,"Medium Income","High Income"))</f>
        <v>High Income</v>
      </c>
      <c r="J318" s="1">
        <f>Table1[[#This Row],[LoanAmount]]/Table1[[#This Row],[Income]]</f>
        <v>0.23567796750525846</v>
      </c>
    </row>
    <row r="319" spans="1:10" x14ac:dyDescent="0.3">
      <c r="A319">
        <v>385</v>
      </c>
      <c r="B319">
        <v>49</v>
      </c>
      <c r="C319" t="s">
        <v>11</v>
      </c>
      <c r="D319">
        <v>48500</v>
      </c>
      <c r="E319">
        <v>6433</v>
      </c>
      <c r="F319">
        <v>403</v>
      </c>
      <c r="G319" t="s">
        <v>9</v>
      </c>
      <c r="H319" t="s">
        <v>10</v>
      </c>
      <c r="I319" t="str">
        <f>IF(Table1[[#This Row],[Income]]&lt;=30000, "Low Income", IF(Table1[[#This Row],[Income]]&lt;=60000,"Medium Income","High Income"))</f>
        <v>Medium Income</v>
      </c>
      <c r="J319" s="1">
        <f>Table1[[#This Row],[LoanAmount]]/Table1[[#This Row],[Income]]</f>
        <v>0.13263917525773194</v>
      </c>
    </row>
    <row r="320" spans="1:10" x14ac:dyDescent="0.3">
      <c r="A320">
        <v>386</v>
      </c>
      <c r="B320">
        <v>34</v>
      </c>
      <c r="C320" t="s">
        <v>11</v>
      </c>
      <c r="D320">
        <v>64292</v>
      </c>
      <c r="E320">
        <v>2098</v>
      </c>
      <c r="F320">
        <v>722</v>
      </c>
      <c r="G320" t="s">
        <v>12</v>
      </c>
      <c r="H320" t="s">
        <v>13</v>
      </c>
      <c r="I320" t="str">
        <f>IF(Table1[[#This Row],[Income]]&lt;=30000, "Low Income", IF(Table1[[#This Row],[Income]]&lt;=60000,"Medium Income","High Income"))</f>
        <v>High Income</v>
      </c>
      <c r="J320" s="1">
        <f>Table1[[#This Row],[LoanAmount]]/Table1[[#This Row],[Income]]</f>
        <v>3.2632364835438313E-2</v>
      </c>
    </row>
    <row r="321" spans="1:10" x14ac:dyDescent="0.3">
      <c r="A321">
        <v>388</v>
      </c>
      <c r="B321">
        <v>25</v>
      </c>
      <c r="C321" t="s">
        <v>11</v>
      </c>
      <c r="D321">
        <v>52650</v>
      </c>
      <c r="E321">
        <v>19710</v>
      </c>
      <c r="F321">
        <v>840</v>
      </c>
      <c r="G321" t="s">
        <v>12</v>
      </c>
      <c r="H321" t="s">
        <v>14</v>
      </c>
      <c r="I321" t="str">
        <f>IF(Table1[[#This Row],[Income]]&lt;=30000, "Low Income", IF(Table1[[#This Row],[Income]]&lt;=60000,"Medium Income","High Income"))</f>
        <v>Medium Income</v>
      </c>
      <c r="J321" s="1">
        <f>Table1[[#This Row],[LoanAmount]]/Table1[[#This Row],[Income]]</f>
        <v>0.37435897435897436</v>
      </c>
    </row>
    <row r="322" spans="1:10" x14ac:dyDescent="0.3">
      <c r="A322">
        <v>389</v>
      </c>
      <c r="B322">
        <v>50</v>
      </c>
      <c r="C322" t="s">
        <v>8</v>
      </c>
      <c r="D322">
        <v>61881</v>
      </c>
      <c r="E322">
        <v>12439</v>
      </c>
      <c r="F322">
        <v>832</v>
      </c>
      <c r="G322" t="s">
        <v>12</v>
      </c>
      <c r="H322" t="s">
        <v>14</v>
      </c>
      <c r="I322" t="str">
        <f>IF(Table1[[#This Row],[Income]]&lt;=30000, "Low Income", IF(Table1[[#This Row],[Income]]&lt;=60000,"Medium Income","High Income"))</f>
        <v>High Income</v>
      </c>
      <c r="J322" s="1">
        <f>Table1[[#This Row],[LoanAmount]]/Table1[[#This Row],[Income]]</f>
        <v>0.2010148510851473</v>
      </c>
    </row>
    <row r="323" spans="1:10" x14ac:dyDescent="0.3">
      <c r="A323">
        <v>390</v>
      </c>
      <c r="B323">
        <v>25</v>
      </c>
      <c r="C323" t="s">
        <v>8</v>
      </c>
      <c r="D323">
        <v>61413</v>
      </c>
      <c r="E323">
        <v>10087</v>
      </c>
      <c r="F323">
        <v>580</v>
      </c>
      <c r="G323" t="s">
        <v>9</v>
      </c>
      <c r="H323" t="s">
        <v>10</v>
      </c>
      <c r="I323" t="str">
        <f>IF(Table1[[#This Row],[Income]]&lt;=30000, "Low Income", IF(Table1[[#This Row],[Income]]&lt;=60000,"Medium Income","High Income"))</f>
        <v>High Income</v>
      </c>
      <c r="J323" s="1">
        <f>Table1[[#This Row],[LoanAmount]]/Table1[[#This Row],[Income]]</f>
        <v>0.16424861185742431</v>
      </c>
    </row>
    <row r="324" spans="1:10" x14ac:dyDescent="0.3">
      <c r="A324">
        <v>391</v>
      </c>
      <c r="B324">
        <v>32</v>
      </c>
      <c r="C324" t="s">
        <v>8</v>
      </c>
      <c r="D324">
        <v>21012</v>
      </c>
      <c r="E324">
        <v>17021</v>
      </c>
      <c r="F324">
        <v>647</v>
      </c>
      <c r="G324" t="s">
        <v>9</v>
      </c>
      <c r="H324" t="s">
        <v>10</v>
      </c>
      <c r="I324" t="str">
        <f>IF(Table1[[#This Row],[Income]]&lt;=30000, "Low Income", IF(Table1[[#This Row],[Income]]&lt;=60000,"Medium Income","High Income"))</f>
        <v>Low Income</v>
      </c>
      <c r="J324" s="1">
        <f>Table1[[#This Row],[LoanAmount]]/Table1[[#This Row],[Income]]</f>
        <v>0.81006091757091181</v>
      </c>
    </row>
    <row r="325" spans="1:10" x14ac:dyDescent="0.3">
      <c r="A325">
        <v>392</v>
      </c>
      <c r="B325">
        <v>36</v>
      </c>
      <c r="C325" t="s">
        <v>11</v>
      </c>
      <c r="D325">
        <v>65115</v>
      </c>
      <c r="E325">
        <v>7416</v>
      </c>
      <c r="F325">
        <v>515</v>
      </c>
      <c r="G325" t="s">
        <v>9</v>
      </c>
      <c r="H325" t="s">
        <v>10</v>
      </c>
      <c r="I325" t="str">
        <f>IF(Table1[[#This Row],[Income]]&lt;=30000, "Low Income", IF(Table1[[#This Row],[Income]]&lt;=60000,"Medium Income","High Income"))</f>
        <v>High Income</v>
      </c>
      <c r="J325" s="1">
        <f>Table1[[#This Row],[LoanAmount]]/Table1[[#This Row],[Income]]</f>
        <v>0.11389080856945405</v>
      </c>
    </row>
    <row r="326" spans="1:10" x14ac:dyDescent="0.3">
      <c r="A326">
        <v>393</v>
      </c>
      <c r="B326">
        <v>46</v>
      </c>
      <c r="C326" t="s">
        <v>11</v>
      </c>
      <c r="D326">
        <v>22151</v>
      </c>
      <c r="E326">
        <v>7980</v>
      </c>
      <c r="F326">
        <v>678</v>
      </c>
      <c r="G326" t="s">
        <v>9</v>
      </c>
      <c r="H326" t="s">
        <v>13</v>
      </c>
      <c r="I326" t="str">
        <f>IF(Table1[[#This Row],[Income]]&lt;=30000, "Low Income", IF(Table1[[#This Row],[Income]]&lt;=60000,"Medium Income","High Income"))</f>
        <v>Low Income</v>
      </c>
      <c r="J326" s="1">
        <f>Table1[[#This Row],[LoanAmount]]/Table1[[#This Row],[Income]]</f>
        <v>0.36025461604442238</v>
      </c>
    </row>
    <row r="327" spans="1:10" x14ac:dyDescent="0.3">
      <c r="A327">
        <v>395</v>
      </c>
      <c r="B327">
        <v>41</v>
      </c>
      <c r="C327" t="s">
        <v>8</v>
      </c>
      <c r="D327">
        <v>43211</v>
      </c>
      <c r="E327">
        <v>12101</v>
      </c>
      <c r="F327">
        <v>468</v>
      </c>
      <c r="G327" t="s">
        <v>9</v>
      </c>
      <c r="H327" t="s">
        <v>10</v>
      </c>
      <c r="I327" t="str">
        <f>IF(Table1[[#This Row],[Income]]&lt;=30000, "Low Income", IF(Table1[[#This Row],[Income]]&lt;=60000,"Medium Income","High Income"))</f>
        <v>Medium Income</v>
      </c>
      <c r="J327" s="1">
        <f>Table1[[#This Row],[LoanAmount]]/Table1[[#This Row],[Income]]</f>
        <v>0.28004443313045291</v>
      </c>
    </row>
    <row r="328" spans="1:10" x14ac:dyDescent="0.3">
      <c r="A328">
        <v>396</v>
      </c>
      <c r="B328">
        <v>59</v>
      </c>
      <c r="C328" t="s">
        <v>11</v>
      </c>
      <c r="D328">
        <v>42117</v>
      </c>
      <c r="E328">
        <v>8950</v>
      </c>
      <c r="F328">
        <v>750</v>
      </c>
      <c r="G328" t="s">
        <v>12</v>
      </c>
      <c r="H328" t="s">
        <v>14</v>
      </c>
      <c r="I328" t="str">
        <f>IF(Table1[[#This Row],[Income]]&lt;=30000, "Low Income", IF(Table1[[#This Row],[Income]]&lt;=60000,"Medium Income","High Income"))</f>
        <v>Medium Income</v>
      </c>
      <c r="J328" s="1">
        <f>Table1[[#This Row],[LoanAmount]]/Table1[[#This Row],[Income]]</f>
        <v>0.2125032647149607</v>
      </c>
    </row>
    <row r="329" spans="1:10" x14ac:dyDescent="0.3">
      <c r="A329">
        <v>397</v>
      </c>
      <c r="B329">
        <v>56</v>
      </c>
      <c r="C329" t="s">
        <v>8</v>
      </c>
      <c r="D329">
        <v>51378</v>
      </c>
      <c r="E329">
        <v>10122</v>
      </c>
      <c r="F329">
        <v>653</v>
      </c>
      <c r="G329" t="s">
        <v>9</v>
      </c>
      <c r="H329" t="s">
        <v>13</v>
      </c>
      <c r="I329" t="str">
        <f>IF(Table1[[#This Row],[Income]]&lt;=30000, "Low Income", IF(Table1[[#This Row],[Income]]&lt;=60000,"Medium Income","High Income"))</f>
        <v>Medium Income</v>
      </c>
      <c r="J329" s="1">
        <f>Table1[[#This Row],[LoanAmount]]/Table1[[#This Row],[Income]]</f>
        <v>0.1970103935536611</v>
      </c>
    </row>
    <row r="330" spans="1:10" x14ac:dyDescent="0.3">
      <c r="A330">
        <v>398</v>
      </c>
      <c r="B330">
        <v>53</v>
      </c>
      <c r="C330" t="s">
        <v>8</v>
      </c>
      <c r="D330">
        <v>57652</v>
      </c>
      <c r="E330">
        <v>13576</v>
      </c>
      <c r="F330">
        <v>580</v>
      </c>
      <c r="G330" t="s">
        <v>9</v>
      </c>
      <c r="H330" t="s">
        <v>10</v>
      </c>
      <c r="I330" t="str">
        <f>IF(Table1[[#This Row],[Income]]&lt;=30000, "Low Income", IF(Table1[[#This Row],[Income]]&lt;=60000,"Medium Income","High Income"))</f>
        <v>Medium Income</v>
      </c>
      <c r="J330" s="1">
        <f>Table1[[#This Row],[LoanAmount]]/Table1[[#This Row],[Income]]</f>
        <v>0.23548185665718449</v>
      </c>
    </row>
    <row r="331" spans="1:10" x14ac:dyDescent="0.3">
      <c r="A331">
        <v>399</v>
      </c>
      <c r="B331">
        <v>50</v>
      </c>
      <c r="C331" t="s">
        <v>11</v>
      </c>
      <c r="D331">
        <v>21894</v>
      </c>
      <c r="E331">
        <v>2089</v>
      </c>
      <c r="F331">
        <v>717</v>
      </c>
      <c r="G331" t="s">
        <v>9</v>
      </c>
      <c r="H331" t="s">
        <v>13</v>
      </c>
      <c r="I331" t="str">
        <f>IF(Table1[[#This Row],[Income]]&lt;=30000, "Low Income", IF(Table1[[#This Row],[Income]]&lt;=60000,"Medium Income","High Income"))</f>
        <v>Low Income</v>
      </c>
      <c r="J331" s="1">
        <f>Table1[[#This Row],[LoanAmount]]/Table1[[#This Row],[Income]]</f>
        <v>9.5414268749429071E-2</v>
      </c>
    </row>
    <row r="332" spans="1:10" x14ac:dyDescent="0.3">
      <c r="A332">
        <v>400</v>
      </c>
      <c r="B332">
        <v>57</v>
      </c>
      <c r="C332" t="s">
        <v>11</v>
      </c>
      <c r="D332">
        <v>28467</v>
      </c>
      <c r="E332">
        <v>5578</v>
      </c>
      <c r="F332">
        <v>568</v>
      </c>
      <c r="G332" t="s">
        <v>9</v>
      </c>
      <c r="H332" t="s">
        <v>10</v>
      </c>
      <c r="I332" t="str">
        <f>IF(Table1[[#This Row],[Income]]&lt;=30000, "Low Income", IF(Table1[[#This Row],[Income]]&lt;=60000,"Medium Income","High Income"))</f>
        <v>Low Income</v>
      </c>
      <c r="J332" s="1">
        <f>Table1[[#This Row],[LoanAmount]]/Table1[[#This Row],[Income]]</f>
        <v>0.19594618329996136</v>
      </c>
    </row>
    <row r="333" spans="1:10" x14ac:dyDescent="0.3">
      <c r="A333">
        <v>401</v>
      </c>
      <c r="B333">
        <v>43</v>
      </c>
      <c r="C333" t="s">
        <v>8</v>
      </c>
      <c r="D333">
        <v>46010</v>
      </c>
      <c r="E333">
        <v>10127</v>
      </c>
      <c r="F333">
        <v>712</v>
      </c>
      <c r="G333" t="s">
        <v>12</v>
      </c>
      <c r="H333" t="s">
        <v>13</v>
      </c>
      <c r="I333" t="str">
        <f>IF(Table1[[#This Row],[Income]]&lt;=30000, "Low Income", IF(Table1[[#This Row],[Income]]&lt;=60000,"Medium Income","High Income"))</f>
        <v>Medium Income</v>
      </c>
      <c r="J333" s="1">
        <f>Table1[[#This Row],[LoanAmount]]/Table1[[#This Row],[Income]]</f>
        <v>0.22010432514670725</v>
      </c>
    </row>
    <row r="334" spans="1:10" x14ac:dyDescent="0.3">
      <c r="A334">
        <v>402</v>
      </c>
      <c r="B334">
        <v>30</v>
      </c>
      <c r="C334" t="s">
        <v>11</v>
      </c>
      <c r="D334">
        <v>78111</v>
      </c>
      <c r="E334">
        <v>11487</v>
      </c>
      <c r="F334">
        <v>648</v>
      </c>
      <c r="G334" t="s">
        <v>9</v>
      </c>
      <c r="H334" t="s">
        <v>10</v>
      </c>
      <c r="I334" t="str">
        <f>IF(Table1[[#This Row],[Income]]&lt;=30000, "Low Income", IF(Table1[[#This Row],[Income]]&lt;=60000,"Medium Income","High Income"))</f>
        <v>High Income</v>
      </c>
      <c r="J334" s="1">
        <f>Table1[[#This Row],[LoanAmount]]/Table1[[#This Row],[Income]]</f>
        <v>0.14705995314360334</v>
      </c>
    </row>
    <row r="335" spans="1:10" x14ac:dyDescent="0.3">
      <c r="A335">
        <v>403</v>
      </c>
      <c r="B335">
        <v>25</v>
      </c>
      <c r="C335" t="s">
        <v>8</v>
      </c>
      <c r="D335">
        <v>71463</v>
      </c>
      <c r="E335">
        <v>1155</v>
      </c>
      <c r="F335">
        <v>587</v>
      </c>
      <c r="G335" t="s">
        <v>9</v>
      </c>
      <c r="H335" t="s">
        <v>10</v>
      </c>
      <c r="I335" t="str">
        <f>IF(Table1[[#This Row],[Income]]&lt;=30000, "Low Income", IF(Table1[[#This Row],[Income]]&lt;=60000,"Medium Income","High Income"))</f>
        <v>High Income</v>
      </c>
      <c r="J335" s="1">
        <f>Table1[[#This Row],[LoanAmount]]/Table1[[#This Row],[Income]]</f>
        <v>1.6162209814869231E-2</v>
      </c>
    </row>
    <row r="336" spans="1:10" x14ac:dyDescent="0.3">
      <c r="A336">
        <v>404</v>
      </c>
      <c r="B336">
        <v>56</v>
      </c>
      <c r="C336" t="s">
        <v>11</v>
      </c>
      <c r="D336">
        <v>64257</v>
      </c>
      <c r="E336">
        <v>2958</v>
      </c>
      <c r="F336">
        <v>453</v>
      </c>
      <c r="G336" t="s">
        <v>9</v>
      </c>
      <c r="H336" t="s">
        <v>10</v>
      </c>
      <c r="I336" t="str">
        <f>IF(Table1[[#This Row],[Income]]&lt;=30000, "Low Income", IF(Table1[[#This Row],[Income]]&lt;=60000,"Medium Income","High Income"))</f>
        <v>High Income</v>
      </c>
      <c r="J336" s="1">
        <f>Table1[[#This Row],[LoanAmount]]/Table1[[#This Row],[Income]]</f>
        <v>4.6033895139829126E-2</v>
      </c>
    </row>
    <row r="337" spans="1:10" x14ac:dyDescent="0.3">
      <c r="A337">
        <v>405</v>
      </c>
      <c r="B337">
        <v>54</v>
      </c>
      <c r="C337" t="s">
        <v>11</v>
      </c>
      <c r="D337">
        <v>69691</v>
      </c>
      <c r="E337">
        <v>11693</v>
      </c>
      <c r="F337">
        <v>725</v>
      </c>
      <c r="G337" t="s">
        <v>12</v>
      </c>
      <c r="H337" t="s">
        <v>13</v>
      </c>
      <c r="I337" t="str">
        <f>IF(Table1[[#This Row],[Income]]&lt;=30000, "Low Income", IF(Table1[[#This Row],[Income]]&lt;=60000,"Medium Income","High Income"))</f>
        <v>High Income</v>
      </c>
      <c r="J337" s="1">
        <f>Table1[[#This Row],[LoanAmount]]/Table1[[#This Row],[Income]]</f>
        <v>0.16778350145642909</v>
      </c>
    </row>
    <row r="338" spans="1:10" x14ac:dyDescent="0.3">
      <c r="A338">
        <v>406</v>
      </c>
      <c r="B338">
        <v>51</v>
      </c>
      <c r="C338" t="s">
        <v>8</v>
      </c>
      <c r="D338">
        <v>79157</v>
      </c>
      <c r="E338">
        <v>7344</v>
      </c>
      <c r="F338">
        <v>756</v>
      </c>
      <c r="G338" t="s">
        <v>12</v>
      </c>
      <c r="H338" t="s">
        <v>14</v>
      </c>
      <c r="I338" t="str">
        <f>IF(Table1[[#This Row],[Income]]&lt;=30000, "Low Income", IF(Table1[[#This Row],[Income]]&lt;=60000,"Medium Income","High Income"))</f>
        <v>High Income</v>
      </c>
      <c r="J338" s="1">
        <f>Table1[[#This Row],[LoanAmount]]/Table1[[#This Row],[Income]]</f>
        <v>9.2777644428161749E-2</v>
      </c>
    </row>
    <row r="339" spans="1:10" x14ac:dyDescent="0.3">
      <c r="A339">
        <v>407</v>
      </c>
      <c r="B339">
        <v>30</v>
      </c>
      <c r="C339" t="s">
        <v>11</v>
      </c>
      <c r="D339">
        <v>57641</v>
      </c>
      <c r="E339">
        <v>6779</v>
      </c>
      <c r="F339">
        <v>712</v>
      </c>
      <c r="G339" t="s">
        <v>12</v>
      </c>
      <c r="H339" t="s">
        <v>13</v>
      </c>
      <c r="I339" t="str">
        <f>IF(Table1[[#This Row],[Income]]&lt;=30000, "Low Income", IF(Table1[[#This Row],[Income]]&lt;=60000,"Medium Income","High Income"))</f>
        <v>Medium Income</v>
      </c>
      <c r="J339" s="1">
        <f>Table1[[#This Row],[LoanAmount]]/Table1[[#This Row],[Income]]</f>
        <v>0.11760725872209019</v>
      </c>
    </row>
    <row r="340" spans="1:10" x14ac:dyDescent="0.3">
      <c r="A340">
        <v>408</v>
      </c>
      <c r="B340">
        <v>39</v>
      </c>
      <c r="C340" t="s">
        <v>8</v>
      </c>
      <c r="D340">
        <v>27289</v>
      </c>
      <c r="E340">
        <v>4830</v>
      </c>
      <c r="F340">
        <v>537</v>
      </c>
      <c r="G340" t="s">
        <v>9</v>
      </c>
      <c r="H340" t="s">
        <v>10</v>
      </c>
      <c r="I340" t="str">
        <f>IF(Table1[[#This Row],[Income]]&lt;=30000, "Low Income", IF(Table1[[#This Row],[Income]]&lt;=60000,"Medium Income","High Income"))</f>
        <v>Low Income</v>
      </c>
      <c r="J340" s="1">
        <f>Table1[[#This Row],[LoanAmount]]/Table1[[#This Row],[Income]]</f>
        <v>0.17699439334530398</v>
      </c>
    </row>
    <row r="341" spans="1:10" x14ac:dyDescent="0.3">
      <c r="A341">
        <v>409</v>
      </c>
      <c r="B341">
        <v>52</v>
      </c>
      <c r="C341" t="s">
        <v>11</v>
      </c>
      <c r="D341">
        <v>59976</v>
      </c>
      <c r="E341">
        <v>10046</v>
      </c>
      <c r="F341">
        <v>567</v>
      </c>
      <c r="G341" t="s">
        <v>9</v>
      </c>
      <c r="H341" t="s">
        <v>10</v>
      </c>
      <c r="I341" t="str">
        <f>IF(Table1[[#This Row],[Income]]&lt;=30000, "Low Income", IF(Table1[[#This Row],[Income]]&lt;=60000,"Medium Income","High Income"))</f>
        <v>Medium Income</v>
      </c>
      <c r="J341" s="1">
        <f>Table1[[#This Row],[LoanAmount]]/Table1[[#This Row],[Income]]</f>
        <v>0.16750033346672002</v>
      </c>
    </row>
    <row r="342" spans="1:10" x14ac:dyDescent="0.3">
      <c r="A342">
        <v>411</v>
      </c>
      <c r="B342">
        <v>25</v>
      </c>
      <c r="C342" t="s">
        <v>8</v>
      </c>
      <c r="D342">
        <v>38171</v>
      </c>
      <c r="E342">
        <v>1441</v>
      </c>
      <c r="F342">
        <v>502</v>
      </c>
      <c r="G342" t="s">
        <v>9</v>
      </c>
      <c r="H342" t="s">
        <v>10</v>
      </c>
      <c r="I342" t="str">
        <f>IF(Table1[[#This Row],[Income]]&lt;=30000, "Low Income", IF(Table1[[#This Row],[Income]]&lt;=60000,"Medium Income","High Income"))</f>
        <v>Medium Income</v>
      </c>
      <c r="J342" s="1">
        <f>Table1[[#This Row],[LoanAmount]]/Table1[[#This Row],[Income]]</f>
        <v>3.7751172355977053E-2</v>
      </c>
    </row>
    <row r="343" spans="1:10" x14ac:dyDescent="0.3">
      <c r="A343">
        <v>412</v>
      </c>
      <c r="B343">
        <v>24</v>
      </c>
      <c r="C343" t="s">
        <v>11</v>
      </c>
      <c r="D343">
        <v>49905</v>
      </c>
      <c r="E343">
        <v>15478</v>
      </c>
      <c r="F343">
        <v>821</v>
      </c>
      <c r="G343" t="s">
        <v>12</v>
      </c>
      <c r="H343" t="s">
        <v>14</v>
      </c>
      <c r="I343" t="str">
        <f>IF(Table1[[#This Row],[Income]]&lt;=30000, "Low Income", IF(Table1[[#This Row],[Income]]&lt;=60000,"Medium Income","High Income"))</f>
        <v>Medium Income</v>
      </c>
      <c r="J343" s="1">
        <f>Table1[[#This Row],[LoanAmount]]/Table1[[#This Row],[Income]]</f>
        <v>0.31014928363891392</v>
      </c>
    </row>
    <row r="344" spans="1:10" x14ac:dyDescent="0.3">
      <c r="A344">
        <v>413</v>
      </c>
      <c r="B344">
        <v>36</v>
      </c>
      <c r="C344" t="s">
        <v>8</v>
      </c>
      <c r="D344">
        <v>75760</v>
      </c>
      <c r="E344">
        <v>5628</v>
      </c>
      <c r="F344">
        <v>484</v>
      </c>
      <c r="G344" t="s">
        <v>9</v>
      </c>
      <c r="H344" t="s">
        <v>10</v>
      </c>
      <c r="I344" t="str">
        <f>IF(Table1[[#This Row],[Income]]&lt;=30000, "Low Income", IF(Table1[[#This Row],[Income]]&lt;=60000,"Medium Income","High Income"))</f>
        <v>High Income</v>
      </c>
      <c r="J344" s="1">
        <f>Table1[[#This Row],[LoanAmount]]/Table1[[#This Row],[Income]]</f>
        <v>7.428722280887011E-2</v>
      </c>
    </row>
    <row r="345" spans="1:10" x14ac:dyDescent="0.3">
      <c r="A345">
        <v>414</v>
      </c>
      <c r="B345">
        <v>44</v>
      </c>
      <c r="C345" t="s">
        <v>11</v>
      </c>
      <c r="D345">
        <v>35829</v>
      </c>
      <c r="E345">
        <v>7370</v>
      </c>
      <c r="F345">
        <v>716</v>
      </c>
      <c r="G345" t="s">
        <v>12</v>
      </c>
      <c r="H345" t="s">
        <v>13</v>
      </c>
      <c r="I345" t="str">
        <f>IF(Table1[[#This Row],[Income]]&lt;=30000, "Low Income", IF(Table1[[#This Row],[Income]]&lt;=60000,"Medium Income","High Income"))</f>
        <v>Medium Income</v>
      </c>
      <c r="J345" s="1">
        <f>Table1[[#This Row],[LoanAmount]]/Table1[[#This Row],[Income]]</f>
        <v>0.20569929386809568</v>
      </c>
    </row>
    <row r="346" spans="1:10" x14ac:dyDescent="0.3">
      <c r="A346">
        <v>415</v>
      </c>
      <c r="B346">
        <v>36</v>
      </c>
      <c r="C346" t="s">
        <v>11</v>
      </c>
      <c r="D346">
        <v>67682</v>
      </c>
      <c r="E346">
        <v>10528</v>
      </c>
      <c r="F346">
        <v>611</v>
      </c>
      <c r="G346" t="s">
        <v>9</v>
      </c>
      <c r="H346" t="s">
        <v>10</v>
      </c>
      <c r="I346" t="str">
        <f>IF(Table1[[#This Row],[Income]]&lt;=30000, "Low Income", IF(Table1[[#This Row],[Income]]&lt;=60000,"Medium Income","High Income"))</f>
        <v>High Income</v>
      </c>
      <c r="J346" s="1">
        <f>Table1[[#This Row],[LoanAmount]]/Table1[[#This Row],[Income]]</f>
        <v>0.15555095889601372</v>
      </c>
    </row>
    <row r="347" spans="1:10" x14ac:dyDescent="0.3">
      <c r="A347">
        <v>419</v>
      </c>
      <c r="B347">
        <v>47</v>
      </c>
      <c r="C347" t="s">
        <v>11</v>
      </c>
      <c r="D347">
        <v>63713</v>
      </c>
      <c r="E347">
        <v>17013</v>
      </c>
      <c r="F347">
        <v>741</v>
      </c>
      <c r="G347" t="s">
        <v>12</v>
      </c>
      <c r="H347" t="s">
        <v>13</v>
      </c>
      <c r="I347" t="str">
        <f>IF(Table1[[#This Row],[Income]]&lt;=30000, "Low Income", IF(Table1[[#This Row],[Income]]&lt;=60000,"Medium Income","High Income"))</f>
        <v>High Income</v>
      </c>
      <c r="J347" s="1">
        <f>Table1[[#This Row],[LoanAmount]]/Table1[[#This Row],[Income]]</f>
        <v>0.26702556778051573</v>
      </c>
    </row>
    <row r="348" spans="1:10" x14ac:dyDescent="0.3">
      <c r="A348">
        <v>420</v>
      </c>
      <c r="B348">
        <v>40</v>
      </c>
      <c r="C348" t="s">
        <v>11</v>
      </c>
      <c r="D348">
        <v>44734</v>
      </c>
      <c r="E348">
        <v>17843</v>
      </c>
      <c r="F348">
        <v>702</v>
      </c>
      <c r="G348" t="s">
        <v>12</v>
      </c>
      <c r="H348" t="s">
        <v>13</v>
      </c>
      <c r="I348" t="str">
        <f>IF(Table1[[#This Row],[Income]]&lt;=30000, "Low Income", IF(Table1[[#This Row],[Income]]&lt;=60000,"Medium Income","High Income"))</f>
        <v>Medium Income</v>
      </c>
      <c r="J348" s="1">
        <f>Table1[[#This Row],[LoanAmount]]/Table1[[#This Row],[Income]]</f>
        <v>0.39886886931640364</v>
      </c>
    </row>
    <row r="349" spans="1:10" x14ac:dyDescent="0.3">
      <c r="A349">
        <v>421</v>
      </c>
      <c r="B349">
        <v>44</v>
      </c>
      <c r="C349" t="s">
        <v>8</v>
      </c>
      <c r="D349">
        <v>22052</v>
      </c>
      <c r="E349">
        <v>1392</v>
      </c>
      <c r="F349">
        <v>731</v>
      </c>
      <c r="G349" t="s">
        <v>9</v>
      </c>
      <c r="H349" t="s">
        <v>13</v>
      </c>
      <c r="I349" t="str">
        <f>IF(Table1[[#This Row],[Income]]&lt;=30000, "Low Income", IF(Table1[[#This Row],[Income]]&lt;=60000,"Medium Income","High Income"))</f>
        <v>Low Income</v>
      </c>
      <c r="J349" s="1">
        <f>Table1[[#This Row],[LoanAmount]]/Table1[[#This Row],[Income]]</f>
        <v>6.3123526210774536E-2</v>
      </c>
    </row>
    <row r="350" spans="1:10" x14ac:dyDescent="0.3">
      <c r="A350">
        <v>422</v>
      </c>
      <c r="B350">
        <v>32</v>
      </c>
      <c r="C350" t="s">
        <v>11</v>
      </c>
      <c r="D350">
        <v>78646</v>
      </c>
      <c r="E350">
        <v>13130</v>
      </c>
      <c r="F350">
        <v>437</v>
      </c>
      <c r="G350" t="s">
        <v>9</v>
      </c>
      <c r="H350" t="s">
        <v>10</v>
      </c>
      <c r="I350" t="str">
        <f>IF(Table1[[#This Row],[Income]]&lt;=30000, "Low Income", IF(Table1[[#This Row],[Income]]&lt;=60000,"Medium Income","High Income"))</f>
        <v>High Income</v>
      </c>
      <c r="J350" s="1">
        <f>Table1[[#This Row],[LoanAmount]]/Table1[[#This Row],[Income]]</f>
        <v>0.16695063957480355</v>
      </c>
    </row>
    <row r="351" spans="1:10" x14ac:dyDescent="0.3">
      <c r="A351">
        <v>423</v>
      </c>
      <c r="B351">
        <v>55</v>
      </c>
      <c r="C351" t="s">
        <v>11</v>
      </c>
      <c r="D351">
        <v>18654</v>
      </c>
      <c r="E351">
        <v>19171</v>
      </c>
      <c r="F351">
        <v>819</v>
      </c>
      <c r="G351" t="s">
        <v>9</v>
      </c>
      <c r="H351" t="s">
        <v>14</v>
      </c>
      <c r="I351" t="str">
        <f>IF(Table1[[#This Row],[Income]]&lt;=30000, "Low Income", IF(Table1[[#This Row],[Income]]&lt;=60000,"Medium Income","High Income"))</f>
        <v>Low Income</v>
      </c>
      <c r="J351" s="1">
        <f>Table1[[#This Row],[LoanAmount]]/Table1[[#This Row],[Income]]</f>
        <v>1.0277152353382653</v>
      </c>
    </row>
    <row r="352" spans="1:10" x14ac:dyDescent="0.3">
      <c r="A352">
        <v>424</v>
      </c>
      <c r="B352">
        <v>53</v>
      </c>
      <c r="C352" t="s">
        <v>8</v>
      </c>
      <c r="D352">
        <v>38486</v>
      </c>
      <c r="E352">
        <v>11449</v>
      </c>
      <c r="F352">
        <v>638</v>
      </c>
      <c r="G352" t="s">
        <v>9</v>
      </c>
      <c r="H352" t="s">
        <v>10</v>
      </c>
      <c r="I352" t="str">
        <f>IF(Table1[[#This Row],[Income]]&lt;=30000, "Low Income", IF(Table1[[#This Row],[Income]]&lt;=60000,"Medium Income","High Income"))</f>
        <v>Medium Income</v>
      </c>
      <c r="J352" s="1">
        <f>Table1[[#This Row],[LoanAmount]]/Table1[[#This Row],[Income]]</f>
        <v>0.29748479966741154</v>
      </c>
    </row>
    <row r="353" spans="1:10" x14ac:dyDescent="0.3">
      <c r="A353">
        <v>425</v>
      </c>
      <c r="B353">
        <v>53</v>
      </c>
      <c r="C353" t="s">
        <v>11</v>
      </c>
      <c r="D353">
        <v>33743</v>
      </c>
      <c r="E353">
        <v>18522</v>
      </c>
      <c r="F353">
        <v>568</v>
      </c>
      <c r="G353" t="s">
        <v>9</v>
      </c>
      <c r="H353" t="s">
        <v>10</v>
      </c>
      <c r="I353" t="str">
        <f>IF(Table1[[#This Row],[Income]]&lt;=30000, "Low Income", IF(Table1[[#This Row],[Income]]&lt;=60000,"Medium Income","High Income"))</f>
        <v>Medium Income</v>
      </c>
      <c r="J353" s="1">
        <f>Table1[[#This Row],[LoanAmount]]/Table1[[#This Row],[Income]]</f>
        <v>0.54891384879826932</v>
      </c>
    </row>
    <row r="354" spans="1:10" x14ac:dyDescent="0.3">
      <c r="A354">
        <v>426</v>
      </c>
      <c r="B354">
        <v>57</v>
      </c>
      <c r="C354" t="s">
        <v>8</v>
      </c>
      <c r="D354">
        <v>63368</v>
      </c>
      <c r="E354">
        <v>8418</v>
      </c>
      <c r="F354">
        <v>796</v>
      </c>
      <c r="G354" t="s">
        <v>12</v>
      </c>
      <c r="H354" t="s">
        <v>14</v>
      </c>
      <c r="I354" t="str">
        <f>IF(Table1[[#This Row],[Income]]&lt;=30000, "Low Income", IF(Table1[[#This Row],[Income]]&lt;=60000,"Medium Income","High Income"))</f>
        <v>High Income</v>
      </c>
      <c r="J354" s="1">
        <f>Table1[[#This Row],[LoanAmount]]/Table1[[#This Row],[Income]]</f>
        <v>0.13284307536927156</v>
      </c>
    </row>
    <row r="355" spans="1:10" x14ac:dyDescent="0.3">
      <c r="A355">
        <v>427</v>
      </c>
      <c r="B355">
        <v>32</v>
      </c>
      <c r="C355" t="s">
        <v>11</v>
      </c>
      <c r="D355">
        <v>39489</v>
      </c>
      <c r="E355">
        <v>3454</v>
      </c>
      <c r="F355">
        <v>742</v>
      </c>
      <c r="G355" t="s">
        <v>12</v>
      </c>
      <c r="H355" t="s">
        <v>13</v>
      </c>
      <c r="I355" t="str">
        <f>IF(Table1[[#This Row],[Income]]&lt;=30000, "Low Income", IF(Table1[[#This Row],[Income]]&lt;=60000,"Medium Income","High Income"))</f>
        <v>Medium Income</v>
      </c>
      <c r="J355" s="1">
        <f>Table1[[#This Row],[LoanAmount]]/Table1[[#This Row],[Income]]</f>
        <v>8.7467395983691659E-2</v>
      </c>
    </row>
    <row r="356" spans="1:10" x14ac:dyDescent="0.3">
      <c r="A356">
        <v>428</v>
      </c>
      <c r="B356">
        <v>23</v>
      </c>
      <c r="C356" t="s">
        <v>8</v>
      </c>
      <c r="D356">
        <v>23636</v>
      </c>
      <c r="E356">
        <v>18761</v>
      </c>
      <c r="F356">
        <v>713</v>
      </c>
      <c r="G356" t="s">
        <v>9</v>
      </c>
      <c r="H356" t="s">
        <v>13</v>
      </c>
      <c r="I356" t="str">
        <f>IF(Table1[[#This Row],[Income]]&lt;=30000, "Low Income", IF(Table1[[#This Row],[Income]]&lt;=60000,"Medium Income","High Income"))</f>
        <v>Low Income</v>
      </c>
      <c r="J356" s="1">
        <f>Table1[[#This Row],[LoanAmount]]/Table1[[#This Row],[Income]]</f>
        <v>0.79374682687425957</v>
      </c>
    </row>
    <row r="357" spans="1:10" x14ac:dyDescent="0.3">
      <c r="A357">
        <v>429</v>
      </c>
      <c r="B357">
        <v>21</v>
      </c>
      <c r="C357" t="s">
        <v>11</v>
      </c>
      <c r="D357">
        <v>21441</v>
      </c>
      <c r="E357">
        <v>16223</v>
      </c>
      <c r="F357">
        <v>705</v>
      </c>
      <c r="G357" t="s">
        <v>9</v>
      </c>
      <c r="H357" t="s">
        <v>13</v>
      </c>
      <c r="I357" t="str">
        <f>IF(Table1[[#This Row],[Income]]&lt;=30000, "Low Income", IF(Table1[[#This Row],[Income]]&lt;=60000,"Medium Income","High Income"))</f>
        <v>Low Income</v>
      </c>
      <c r="J357" s="1">
        <f>Table1[[#This Row],[LoanAmount]]/Table1[[#This Row],[Income]]</f>
        <v>0.75663448533184086</v>
      </c>
    </row>
    <row r="358" spans="1:10" x14ac:dyDescent="0.3">
      <c r="A358">
        <v>430</v>
      </c>
      <c r="B358">
        <v>53</v>
      </c>
      <c r="C358" t="s">
        <v>11</v>
      </c>
      <c r="D358">
        <v>69199</v>
      </c>
      <c r="E358">
        <v>7701</v>
      </c>
      <c r="F358">
        <v>429</v>
      </c>
      <c r="G358" t="s">
        <v>9</v>
      </c>
      <c r="H358" t="s">
        <v>10</v>
      </c>
      <c r="I358" t="str">
        <f>IF(Table1[[#This Row],[Income]]&lt;=30000, "Low Income", IF(Table1[[#This Row],[Income]]&lt;=60000,"Medium Income","High Income"))</f>
        <v>High Income</v>
      </c>
      <c r="J358" s="1">
        <f>Table1[[#This Row],[LoanAmount]]/Table1[[#This Row],[Income]]</f>
        <v>0.11128773537189844</v>
      </c>
    </row>
    <row r="359" spans="1:10" x14ac:dyDescent="0.3">
      <c r="A359">
        <v>431</v>
      </c>
      <c r="B359">
        <v>30</v>
      </c>
      <c r="C359" t="s">
        <v>8</v>
      </c>
      <c r="D359">
        <v>39611</v>
      </c>
      <c r="E359">
        <v>3597</v>
      </c>
      <c r="F359">
        <v>589</v>
      </c>
      <c r="G359" t="s">
        <v>9</v>
      </c>
      <c r="H359" t="s">
        <v>10</v>
      </c>
      <c r="I359" t="str">
        <f>IF(Table1[[#This Row],[Income]]&lt;=30000, "Low Income", IF(Table1[[#This Row],[Income]]&lt;=60000,"Medium Income","High Income"))</f>
        <v>Medium Income</v>
      </c>
      <c r="J359" s="1">
        <f>Table1[[#This Row],[LoanAmount]]/Table1[[#This Row],[Income]]</f>
        <v>9.0808108858650372E-2</v>
      </c>
    </row>
    <row r="360" spans="1:10" x14ac:dyDescent="0.3">
      <c r="A360">
        <v>432</v>
      </c>
      <c r="B360">
        <v>49</v>
      </c>
      <c r="C360" t="s">
        <v>11</v>
      </c>
      <c r="D360">
        <v>69355</v>
      </c>
      <c r="E360">
        <v>1141</v>
      </c>
      <c r="F360">
        <v>756</v>
      </c>
      <c r="G360" t="s">
        <v>12</v>
      </c>
      <c r="H360" t="s">
        <v>14</v>
      </c>
      <c r="I360" t="str">
        <f>IF(Table1[[#This Row],[Income]]&lt;=30000, "Low Income", IF(Table1[[#This Row],[Income]]&lt;=60000,"Medium Income","High Income"))</f>
        <v>High Income</v>
      </c>
      <c r="J360" s="1">
        <f>Table1[[#This Row],[LoanAmount]]/Table1[[#This Row],[Income]]</f>
        <v>1.6451589647465938E-2</v>
      </c>
    </row>
    <row r="361" spans="1:10" x14ac:dyDescent="0.3">
      <c r="A361">
        <v>433</v>
      </c>
      <c r="B361">
        <v>33</v>
      </c>
      <c r="C361" t="s">
        <v>8</v>
      </c>
      <c r="D361">
        <v>57435</v>
      </c>
      <c r="E361">
        <v>3659</v>
      </c>
      <c r="F361">
        <v>424</v>
      </c>
      <c r="G361" t="s">
        <v>9</v>
      </c>
      <c r="H361" t="s">
        <v>10</v>
      </c>
      <c r="I361" t="str">
        <f>IF(Table1[[#This Row],[Income]]&lt;=30000, "Low Income", IF(Table1[[#This Row],[Income]]&lt;=60000,"Medium Income","High Income"))</f>
        <v>Medium Income</v>
      </c>
      <c r="J361" s="1">
        <f>Table1[[#This Row],[LoanAmount]]/Table1[[#This Row],[Income]]</f>
        <v>6.3706798990162794E-2</v>
      </c>
    </row>
    <row r="362" spans="1:10" x14ac:dyDescent="0.3">
      <c r="A362">
        <v>435</v>
      </c>
      <c r="B362">
        <v>51</v>
      </c>
      <c r="C362" t="s">
        <v>8</v>
      </c>
      <c r="D362">
        <v>49566</v>
      </c>
      <c r="E362">
        <v>16037</v>
      </c>
      <c r="F362">
        <v>810</v>
      </c>
      <c r="G362" t="s">
        <v>12</v>
      </c>
      <c r="H362" t="s">
        <v>14</v>
      </c>
      <c r="I362" t="str">
        <f>IF(Table1[[#This Row],[Income]]&lt;=30000, "Low Income", IF(Table1[[#This Row],[Income]]&lt;=60000,"Medium Income","High Income"))</f>
        <v>Medium Income</v>
      </c>
      <c r="J362" s="1">
        <f>Table1[[#This Row],[LoanAmount]]/Table1[[#This Row],[Income]]</f>
        <v>0.32354840011298069</v>
      </c>
    </row>
    <row r="363" spans="1:10" x14ac:dyDescent="0.3">
      <c r="A363">
        <v>437</v>
      </c>
      <c r="B363">
        <v>55</v>
      </c>
      <c r="C363" t="s">
        <v>8</v>
      </c>
      <c r="D363">
        <v>48500</v>
      </c>
      <c r="E363">
        <v>6661</v>
      </c>
      <c r="F363">
        <v>605</v>
      </c>
      <c r="G363" t="s">
        <v>9</v>
      </c>
      <c r="H363" t="s">
        <v>10</v>
      </c>
      <c r="I363" t="str">
        <f>IF(Table1[[#This Row],[Income]]&lt;=30000, "Low Income", IF(Table1[[#This Row],[Income]]&lt;=60000,"Medium Income","High Income"))</f>
        <v>Medium Income</v>
      </c>
      <c r="J363" s="1">
        <f>Table1[[#This Row],[LoanAmount]]/Table1[[#This Row],[Income]]</f>
        <v>0.137340206185567</v>
      </c>
    </row>
    <row r="364" spans="1:10" x14ac:dyDescent="0.3">
      <c r="A364">
        <v>438</v>
      </c>
      <c r="B364">
        <v>43</v>
      </c>
      <c r="C364" t="s">
        <v>8</v>
      </c>
      <c r="D364">
        <v>36675</v>
      </c>
      <c r="E364">
        <v>7142</v>
      </c>
      <c r="F364">
        <v>584</v>
      </c>
      <c r="G364" t="s">
        <v>9</v>
      </c>
      <c r="H364" t="s">
        <v>10</v>
      </c>
      <c r="I364" t="str">
        <f>IF(Table1[[#This Row],[Income]]&lt;=30000, "Low Income", IF(Table1[[#This Row],[Income]]&lt;=60000,"Medium Income","High Income"))</f>
        <v>Medium Income</v>
      </c>
      <c r="J364" s="1">
        <f>Table1[[#This Row],[LoanAmount]]/Table1[[#This Row],[Income]]</f>
        <v>0.1947375596455351</v>
      </c>
    </row>
    <row r="365" spans="1:10" x14ac:dyDescent="0.3">
      <c r="A365">
        <v>439</v>
      </c>
      <c r="B365">
        <v>37</v>
      </c>
      <c r="C365" t="s">
        <v>11</v>
      </c>
      <c r="D365">
        <v>20495</v>
      </c>
      <c r="E365">
        <v>13109</v>
      </c>
      <c r="F365">
        <v>781</v>
      </c>
      <c r="G365" t="s">
        <v>9</v>
      </c>
      <c r="H365" t="s">
        <v>14</v>
      </c>
      <c r="I365" t="str">
        <f>IF(Table1[[#This Row],[Income]]&lt;=30000, "Low Income", IF(Table1[[#This Row],[Income]]&lt;=60000,"Medium Income","High Income"))</f>
        <v>Low Income</v>
      </c>
      <c r="J365" s="1">
        <f>Table1[[#This Row],[LoanAmount]]/Table1[[#This Row],[Income]]</f>
        <v>0.6396194193705782</v>
      </c>
    </row>
    <row r="366" spans="1:10" x14ac:dyDescent="0.3">
      <c r="A366">
        <v>440</v>
      </c>
      <c r="B366">
        <v>46</v>
      </c>
      <c r="C366" t="s">
        <v>11</v>
      </c>
      <c r="D366">
        <v>57668</v>
      </c>
      <c r="E366">
        <v>9787</v>
      </c>
      <c r="F366">
        <v>778</v>
      </c>
      <c r="G366" t="s">
        <v>12</v>
      </c>
      <c r="H366" t="s">
        <v>14</v>
      </c>
      <c r="I366" t="str">
        <f>IF(Table1[[#This Row],[Income]]&lt;=30000, "Low Income", IF(Table1[[#This Row],[Income]]&lt;=60000,"Medium Income","High Income"))</f>
        <v>Medium Income</v>
      </c>
      <c r="J366" s="1">
        <f>Table1[[#This Row],[LoanAmount]]/Table1[[#This Row],[Income]]</f>
        <v>0.16971283900950268</v>
      </c>
    </row>
    <row r="367" spans="1:10" x14ac:dyDescent="0.3">
      <c r="A367">
        <v>441</v>
      </c>
      <c r="B367">
        <v>28</v>
      </c>
      <c r="C367" t="s">
        <v>8</v>
      </c>
      <c r="D367">
        <v>28673</v>
      </c>
      <c r="E367">
        <v>11096</v>
      </c>
      <c r="F367">
        <v>446</v>
      </c>
      <c r="G367" t="s">
        <v>9</v>
      </c>
      <c r="H367" t="s">
        <v>10</v>
      </c>
      <c r="I367" t="str">
        <f>IF(Table1[[#This Row],[Income]]&lt;=30000, "Low Income", IF(Table1[[#This Row],[Income]]&lt;=60000,"Medium Income","High Income"))</f>
        <v>Low Income</v>
      </c>
      <c r="J367" s="1">
        <f>Table1[[#This Row],[LoanAmount]]/Table1[[#This Row],[Income]]</f>
        <v>0.38698427091689047</v>
      </c>
    </row>
    <row r="368" spans="1:10" x14ac:dyDescent="0.3">
      <c r="A368">
        <v>442</v>
      </c>
      <c r="B368">
        <v>49</v>
      </c>
      <c r="C368" t="s">
        <v>8</v>
      </c>
      <c r="D368">
        <v>79046</v>
      </c>
      <c r="E368">
        <v>9472</v>
      </c>
      <c r="F368">
        <v>773</v>
      </c>
      <c r="G368" t="s">
        <v>12</v>
      </c>
      <c r="H368" t="s">
        <v>14</v>
      </c>
      <c r="I368" t="str">
        <f>IF(Table1[[#This Row],[Income]]&lt;=30000, "Low Income", IF(Table1[[#This Row],[Income]]&lt;=60000,"Medium Income","High Income"))</f>
        <v>High Income</v>
      </c>
      <c r="J368" s="1">
        <f>Table1[[#This Row],[LoanAmount]]/Table1[[#This Row],[Income]]</f>
        <v>0.11982896035219999</v>
      </c>
    </row>
    <row r="369" spans="1:10" x14ac:dyDescent="0.3">
      <c r="A369">
        <v>443</v>
      </c>
      <c r="B369">
        <v>46</v>
      </c>
      <c r="C369" t="s">
        <v>8</v>
      </c>
      <c r="D369">
        <v>26130</v>
      </c>
      <c r="E369">
        <v>17807</v>
      </c>
      <c r="F369">
        <v>627</v>
      </c>
      <c r="G369" t="s">
        <v>9</v>
      </c>
      <c r="H369" t="s">
        <v>10</v>
      </c>
      <c r="I369" t="str">
        <f>IF(Table1[[#This Row],[Income]]&lt;=30000, "Low Income", IF(Table1[[#This Row],[Income]]&lt;=60000,"Medium Income","High Income"))</f>
        <v>Low Income</v>
      </c>
      <c r="J369" s="1">
        <f>Table1[[#This Row],[LoanAmount]]/Table1[[#This Row],[Income]]</f>
        <v>0.68147722923842324</v>
      </c>
    </row>
    <row r="370" spans="1:10" x14ac:dyDescent="0.3">
      <c r="A370">
        <v>444</v>
      </c>
      <c r="B370">
        <v>30</v>
      </c>
      <c r="C370" t="s">
        <v>11</v>
      </c>
      <c r="D370">
        <v>37668</v>
      </c>
      <c r="E370">
        <v>5249</v>
      </c>
      <c r="F370">
        <v>438</v>
      </c>
      <c r="G370" t="s">
        <v>9</v>
      </c>
      <c r="H370" t="s">
        <v>10</v>
      </c>
      <c r="I370" t="str">
        <f>IF(Table1[[#This Row],[Income]]&lt;=30000, "Low Income", IF(Table1[[#This Row],[Income]]&lt;=60000,"Medium Income","High Income"))</f>
        <v>Medium Income</v>
      </c>
      <c r="J370" s="1">
        <f>Table1[[#This Row],[LoanAmount]]/Table1[[#This Row],[Income]]</f>
        <v>0.13934904959116493</v>
      </c>
    </row>
    <row r="371" spans="1:10" x14ac:dyDescent="0.3">
      <c r="A371">
        <v>445</v>
      </c>
      <c r="B371">
        <v>46</v>
      </c>
      <c r="C371" t="s">
        <v>11</v>
      </c>
      <c r="D371">
        <v>30222</v>
      </c>
      <c r="E371">
        <v>15949</v>
      </c>
      <c r="F371">
        <v>415</v>
      </c>
      <c r="G371" t="s">
        <v>9</v>
      </c>
      <c r="H371" t="s">
        <v>10</v>
      </c>
      <c r="I371" t="str">
        <f>IF(Table1[[#This Row],[Income]]&lt;=30000, "Low Income", IF(Table1[[#This Row],[Income]]&lt;=60000,"Medium Income","High Income"))</f>
        <v>Medium Income</v>
      </c>
      <c r="J371" s="1">
        <f>Table1[[#This Row],[LoanAmount]]/Table1[[#This Row],[Income]]</f>
        <v>0.52772814505989019</v>
      </c>
    </row>
    <row r="372" spans="1:10" x14ac:dyDescent="0.3">
      <c r="A372">
        <v>446</v>
      </c>
      <c r="B372">
        <v>54</v>
      </c>
      <c r="C372" t="s">
        <v>11</v>
      </c>
      <c r="D372">
        <v>38669</v>
      </c>
      <c r="E372">
        <v>2750</v>
      </c>
      <c r="F372">
        <v>421</v>
      </c>
      <c r="G372" t="s">
        <v>9</v>
      </c>
      <c r="H372" t="s">
        <v>10</v>
      </c>
      <c r="I372" t="str">
        <f>IF(Table1[[#This Row],[Income]]&lt;=30000, "Low Income", IF(Table1[[#This Row],[Income]]&lt;=60000,"Medium Income","High Income"))</f>
        <v>Medium Income</v>
      </c>
      <c r="J372" s="1">
        <f>Table1[[#This Row],[LoanAmount]]/Table1[[#This Row],[Income]]</f>
        <v>7.1116398148387591E-2</v>
      </c>
    </row>
    <row r="373" spans="1:10" x14ac:dyDescent="0.3">
      <c r="A373">
        <v>447</v>
      </c>
      <c r="B373">
        <v>27</v>
      </c>
      <c r="C373" t="s">
        <v>11</v>
      </c>
      <c r="D373">
        <v>49068</v>
      </c>
      <c r="E373">
        <v>19351</v>
      </c>
      <c r="F373">
        <v>612</v>
      </c>
      <c r="G373" t="s">
        <v>9</v>
      </c>
      <c r="H373" t="s">
        <v>10</v>
      </c>
      <c r="I373" t="str">
        <f>IF(Table1[[#This Row],[Income]]&lt;=30000, "Low Income", IF(Table1[[#This Row],[Income]]&lt;=60000,"Medium Income","High Income"))</f>
        <v>Medium Income</v>
      </c>
      <c r="J373" s="1">
        <f>Table1[[#This Row],[LoanAmount]]/Table1[[#This Row],[Income]]</f>
        <v>0.39437107687291106</v>
      </c>
    </row>
    <row r="374" spans="1:10" x14ac:dyDescent="0.3">
      <c r="A374">
        <v>448</v>
      </c>
      <c r="B374">
        <v>24</v>
      </c>
      <c r="C374" t="s">
        <v>8</v>
      </c>
      <c r="D374">
        <v>38253</v>
      </c>
      <c r="E374">
        <v>5088</v>
      </c>
      <c r="F374">
        <v>709</v>
      </c>
      <c r="G374" t="s">
        <v>12</v>
      </c>
      <c r="H374" t="s">
        <v>13</v>
      </c>
      <c r="I374" t="str">
        <f>IF(Table1[[#This Row],[Income]]&lt;=30000, "Low Income", IF(Table1[[#This Row],[Income]]&lt;=60000,"Medium Income","High Income"))</f>
        <v>Medium Income</v>
      </c>
      <c r="J374" s="1">
        <f>Table1[[#This Row],[LoanAmount]]/Table1[[#This Row],[Income]]</f>
        <v>0.1330091757509215</v>
      </c>
    </row>
    <row r="375" spans="1:10" x14ac:dyDescent="0.3">
      <c r="A375">
        <v>449</v>
      </c>
      <c r="B375">
        <v>31</v>
      </c>
      <c r="C375" t="s">
        <v>8</v>
      </c>
      <c r="D375">
        <v>24435</v>
      </c>
      <c r="E375">
        <v>16282</v>
      </c>
      <c r="F375">
        <v>548</v>
      </c>
      <c r="G375" t="s">
        <v>9</v>
      </c>
      <c r="H375" t="s">
        <v>10</v>
      </c>
      <c r="I375" t="str">
        <f>IF(Table1[[#This Row],[Income]]&lt;=30000, "Low Income", IF(Table1[[#This Row],[Income]]&lt;=60000,"Medium Income","High Income"))</f>
        <v>Low Income</v>
      </c>
      <c r="J375" s="1">
        <f>Table1[[#This Row],[LoanAmount]]/Table1[[#This Row],[Income]]</f>
        <v>0.66633926744423977</v>
      </c>
    </row>
    <row r="376" spans="1:10" x14ac:dyDescent="0.3">
      <c r="A376">
        <v>450</v>
      </c>
      <c r="B376">
        <v>49</v>
      </c>
      <c r="C376" t="s">
        <v>8</v>
      </c>
      <c r="D376">
        <v>43552</v>
      </c>
      <c r="E376">
        <v>10641</v>
      </c>
      <c r="F376">
        <v>640</v>
      </c>
      <c r="G376" t="s">
        <v>9</v>
      </c>
      <c r="H376" t="s">
        <v>10</v>
      </c>
      <c r="I376" t="str">
        <f>IF(Table1[[#This Row],[Income]]&lt;=30000, "Low Income", IF(Table1[[#This Row],[Income]]&lt;=60000,"Medium Income","High Income"))</f>
        <v>Medium Income</v>
      </c>
      <c r="J376" s="1">
        <f>Table1[[#This Row],[LoanAmount]]/Table1[[#This Row],[Income]]</f>
        <v>0.24432861866274799</v>
      </c>
    </row>
    <row r="377" spans="1:10" x14ac:dyDescent="0.3">
      <c r="A377">
        <v>451</v>
      </c>
      <c r="B377">
        <v>56</v>
      </c>
      <c r="C377" t="s">
        <v>11</v>
      </c>
      <c r="D377">
        <v>67249</v>
      </c>
      <c r="E377">
        <v>6075</v>
      </c>
      <c r="F377">
        <v>671</v>
      </c>
      <c r="G377" t="s">
        <v>9</v>
      </c>
      <c r="H377" t="s">
        <v>13</v>
      </c>
      <c r="I377" t="str">
        <f>IF(Table1[[#This Row],[Income]]&lt;=30000, "Low Income", IF(Table1[[#This Row],[Income]]&lt;=60000,"Medium Income","High Income"))</f>
        <v>High Income</v>
      </c>
      <c r="J377" s="1">
        <f>Table1[[#This Row],[LoanAmount]]/Table1[[#This Row],[Income]]</f>
        <v>9.0335915775699271E-2</v>
      </c>
    </row>
    <row r="378" spans="1:10" x14ac:dyDescent="0.3">
      <c r="A378">
        <v>452</v>
      </c>
      <c r="B378">
        <v>45</v>
      </c>
      <c r="C378" t="s">
        <v>11</v>
      </c>
      <c r="D378">
        <v>52384</v>
      </c>
      <c r="E378">
        <v>11412</v>
      </c>
      <c r="F378">
        <v>458</v>
      </c>
      <c r="G378" t="s">
        <v>9</v>
      </c>
      <c r="H378" t="s">
        <v>10</v>
      </c>
      <c r="I378" t="str">
        <f>IF(Table1[[#This Row],[Income]]&lt;=30000, "Low Income", IF(Table1[[#This Row],[Income]]&lt;=60000,"Medium Income","High Income"))</f>
        <v>Medium Income</v>
      </c>
      <c r="J378" s="1">
        <f>Table1[[#This Row],[LoanAmount]]/Table1[[#This Row],[Income]]</f>
        <v>0.21785277947464876</v>
      </c>
    </row>
    <row r="379" spans="1:10" x14ac:dyDescent="0.3">
      <c r="A379">
        <v>453</v>
      </c>
      <c r="B379">
        <v>41</v>
      </c>
      <c r="C379" t="s">
        <v>11</v>
      </c>
      <c r="D379">
        <v>78246</v>
      </c>
      <c r="E379">
        <v>16686</v>
      </c>
      <c r="F379">
        <v>686</v>
      </c>
      <c r="G379" t="s">
        <v>12</v>
      </c>
      <c r="H379" t="s">
        <v>13</v>
      </c>
      <c r="I379" t="str">
        <f>IF(Table1[[#This Row],[Income]]&lt;=30000, "Low Income", IF(Table1[[#This Row],[Income]]&lt;=60000,"Medium Income","High Income"))</f>
        <v>High Income</v>
      </c>
      <c r="J379" s="1">
        <f>Table1[[#This Row],[LoanAmount]]/Table1[[#This Row],[Income]]</f>
        <v>0.21325051759834368</v>
      </c>
    </row>
    <row r="380" spans="1:10" x14ac:dyDescent="0.3">
      <c r="A380">
        <v>454</v>
      </c>
      <c r="B380">
        <v>56</v>
      </c>
      <c r="C380" t="s">
        <v>8</v>
      </c>
      <c r="D380">
        <v>31393</v>
      </c>
      <c r="E380">
        <v>8230</v>
      </c>
      <c r="F380">
        <v>825</v>
      </c>
      <c r="G380" t="s">
        <v>12</v>
      </c>
      <c r="H380" t="s">
        <v>14</v>
      </c>
      <c r="I380" t="str">
        <f>IF(Table1[[#This Row],[Income]]&lt;=30000, "Low Income", IF(Table1[[#This Row],[Income]]&lt;=60000,"Medium Income","High Income"))</f>
        <v>Medium Income</v>
      </c>
      <c r="J380" s="1">
        <f>Table1[[#This Row],[LoanAmount]]/Table1[[#This Row],[Income]]</f>
        <v>0.26216035421909345</v>
      </c>
    </row>
    <row r="381" spans="1:10" x14ac:dyDescent="0.3">
      <c r="A381">
        <v>455</v>
      </c>
      <c r="B381">
        <v>30</v>
      </c>
      <c r="C381" t="s">
        <v>8</v>
      </c>
      <c r="D381">
        <v>77423</v>
      </c>
      <c r="E381">
        <v>16432</v>
      </c>
      <c r="F381">
        <v>601</v>
      </c>
      <c r="G381" t="s">
        <v>9</v>
      </c>
      <c r="H381" t="s">
        <v>10</v>
      </c>
      <c r="I381" t="str">
        <f>IF(Table1[[#This Row],[Income]]&lt;=30000, "Low Income", IF(Table1[[#This Row],[Income]]&lt;=60000,"Medium Income","High Income"))</f>
        <v>High Income</v>
      </c>
      <c r="J381" s="1">
        <f>Table1[[#This Row],[LoanAmount]]/Table1[[#This Row],[Income]]</f>
        <v>0.21223667385660591</v>
      </c>
    </row>
    <row r="382" spans="1:10" x14ac:dyDescent="0.3">
      <c r="A382">
        <v>456</v>
      </c>
      <c r="B382">
        <v>57</v>
      </c>
      <c r="C382" t="s">
        <v>11</v>
      </c>
      <c r="D382">
        <v>25617</v>
      </c>
      <c r="E382">
        <v>12002</v>
      </c>
      <c r="F382">
        <v>431</v>
      </c>
      <c r="G382" t="s">
        <v>9</v>
      </c>
      <c r="H382" t="s">
        <v>10</v>
      </c>
      <c r="I382" t="str">
        <f>IF(Table1[[#This Row],[Income]]&lt;=30000, "Low Income", IF(Table1[[#This Row],[Income]]&lt;=60000,"Medium Income","High Income"))</f>
        <v>Low Income</v>
      </c>
      <c r="J382" s="1">
        <f>Table1[[#This Row],[LoanAmount]]/Table1[[#This Row],[Income]]</f>
        <v>0.46851700042940236</v>
      </c>
    </row>
    <row r="383" spans="1:10" x14ac:dyDescent="0.3">
      <c r="A383">
        <v>457</v>
      </c>
      <c r="B383">
        <v>29</v>
      </c>
      <c r="C383" t="s">
        <v>8</v>
      </c>
      <c r="D383">
        <v>53520</v>
      </c>
      <c r="E383">
        <v>14947</v>
      </c>
      <c r="F383">
        <v>842</v>
      </c>
      <c r="G383" t="s">
        <v>12</v>
      </c>
      <c r="H383" t="s">
        <v>14</v>
      </c>
      <c r="I383" t="str">
        <f>IF(Table1[[#This Row],[Income]]&lt;=30000, "Low Income", IF(Table1[[#This Row],[Income]]&lt;=60000,"Medium Income","High Income"))</f>
        <v>Medium Income</v>
      </c>
      <c r="J383" s="1">
        <f>Table1[[#This Row],[LoanAmount]]/Table1[[#This Row],[Income]]</f>
        <v>0.27927877428998504</v>
      </c>
    </row>
    <row r="384" spans="1:10" x14ac:dyDescent="0.3">
      <c r="A384">
        <v>458</v>
      </c>
      <c r="B384">
        <v>44</v>
      </c>
      <c r="C384" t="s">
        <v>11</v>
      </c>
      <c r="D384">
        <v>24852</v>
      </c>
      <c r="E384">
        <v>14686</v>
      </c>
      <c r="F384">
        <v>561</v>
      </c>
      <c r="G384" t="s">
        <v>9</v>
      </c>
      <c r="H384" t="s">
        <v>10</v>
      </c>
      <c r="I384" t="str">
        <f>IF(Table1[[#This Row],[Income]]&lt;=30000, "Low Income", IF(Table1[[#This Row],[Income]]&lt;=60000,"Medium Income","High Income"))</f>
        <v>Low Income</v>
      </c>
      <c r="J384" s="1">
        <f>Table1[[#This Row],[LoanAmount]]/Table1[[#This Row],[Income]]</f>
        <v>0.59093835506196679</v>
      </c>
    </row>
    <row r="385" spans="1:10" x14ac:dyDescent="0.3">
      <c r="A385">
        <v>459</v>
      </c>
      <c r="B385">
        <v>55</v>
      </c>
      <c r="C385" t="s">
        <v>11</v>
      </c>
      <c r="D385">
        <v>46401</v>
      </c>
      <c r="E385">
        <v>18915</v>
      </c>
      <c r="F385">
        <v>654</v>
      </c>
      <c r="G385" t="s">
        <v>9</v>
      </c>
      <c r="H385" t="s">
        <v>13</v>
      </c>
      <c r="I385" t="str">
        <f>IF(Table1[[#This Row],[Income]]&lt;=30000, "Low Income", IF(Table1[[#This Row],[Income]]&lt;=60000,"Medium Income","High Income"))</f>
        <v>Medium Income</v>
      </c>
      <c r="J385" s="1">
        <f>Table1[[#This Row],[LoanAmount]]/Table1[[#This Row],[Income]]</f>
        <v>0.4076420766793819</v>
      </c>
    </row>
    <row r="386" spans="1:10" x14ac:dyDescent="0.3">
      <c r="A386">
        <v>461</v>
      </c>
      <c r="B386">
        <v>56</v>
      </c>
      <c r="C386" t="s">
        <v>11</v>
      </c>
      <c r="D386">
        <v>21295</v>
      </c>
      <c r="E386">
        <v>5493</v>
      </c>
      <c r="F386">
        <v>408</v>
      </c>
      <c r="G386" t="s">
        <v>9</v>
      </c>
      <c r="H386" t="s">
        <v>10</v>
      </c>
      <c r="I386" t="str">
        <f>IF(Table1[[#This Row],[Income]]&lt;=30000, "Low Income", IF(Table1[[#This Row],[Income]]&lt;=60000,"Medium Income","High Income"))</f>
        <v>Low Income</v>
      </c>
      <c r="J386" s="1">
        <f>Table1[[#This Row],[LoanAmount]]/Table1[[#This Row],[Income]]</f>
        <v>0.25794787508804884</v>
      </c>
    </row>
    <row r="387" spans="1:10" x14ac:dyDescent="0.3">
      <c r="A387">
        <v>462</v>
      </c>
      <c r="B387">
        <v>38</v>
      </c>
      <c r="C387" t="s">
        <v>8</v>
      </c>
      <c r="D387">
        <v>68967</v>
      </c>
      <c r="E387">
        <v>18317</v>
      </c>
      <c r="F387">
        <v>538</v>
      </c>
      <c r="G387" t="s">
        <v>9</v>
      </c>
      <c r="H387" t="s">
        <v>10</v>
      </c>
      <c r="I387" t="str">
        <f>IF(Table1[[#This Row],[Income]]&lt;=30000, "Low Income", IF(Table1[[#This Row],[Income]]&lt;=60000,"Medium Income","High Income"))</f>
        <v>High Income</v>
      </c>
      <c r="J387" s="1">
        <f>Table1[[#This Row],[LoanAmount]]/Table1[[#This Row],[Income]]</f>
        <v>0.26559078979801937</v>
      </c>
    </row>
    <row r="388" spans="1:10" x14ac:dyDescent="0.3">
      <c r="A388">
        <v>463</v>
      </c>
      <c r="B388">
        <v>59</v>
      </c>
      <c r="C388" t="s">
        <v>11</v>
      </c>
      <c r="D388">
        <v>65224</v>
      </c>
      <c r="E388">
        <v>2460</v>
      </c>
      <c r="F388">
        <v>409</v>
      </c>
      <c r="G388" t="s">
        <v>9</v>
      </c>
      <c r="H388" t="s">
        <v>10</v>
      </c>
      <c r="I388" t="str">
        <f>IF(Table1[[#This Row],[Income]]&lt;=30000, "Low Income", IF(Table1[[#This Row],[Income]]&lt;=60000,"Medium Income","High Income"))</f>
        <v>High Income</v>
      </c>
      <c r="J388" s="1">
        <f>Table1[[#This Row],[LoanAmount]]/Table1[[#This Row],[Income]]</f>
        <v>3.7716178093953147E-2</v>
      </c>
    </row>
    <row r="389" spans="1:10" x14ac:dyDescent="0.3">
      <c r="A389">
        <v>464</v>
      </c>
      <c r="B389">
        <v>52</v>
      </c>
      <c r="C389" t="s">
        <v>8</v>
      </c>
      <c r="D389">
        <v>50993</v>
      </c>
      <c r="E389">
        <v>15140</v>
      </c>
      <c r="F389">
        <v>613</v>
      </c>
      <c r="G389" t="s">
        <v>9</v>
      </c>
      <c r="H389" t="s">
        <v>10</v>
      </c>
      <c r="I389" t="str">
        <f>IF(Table1[[#This Row],[Income]]&lt;=30000, "Low Income", IF(Table1[[#This Row],[Income]]&lt;=60000,"Medium Income","High Income"))</f>
        <v>Medium Income</v>
      </c>
      <c r="J389" s="1">
        <f>Table1[[#This Row],[LoanAmount]]/Table1[[#This Row],[Income]]</f>
        <v>0.29690349655835113</v>
      </c>
    </row>
    <row r="390" spans="1:10" x14ac:dyDescent="0.3">
      <c r="A390">
        <v>465</v>
      </c>
      <c r="B390">
        <v>44</v>
      </c>
      <c r="C390" t="s">
        <v>8</v>
      </c>
      <c r="D390">
        <v>77298</v>
      </c>
      <c r="E390">
        <v>11704</v>
      </c>
      <c r="F390">
        <v>672</v>
      </c>
      <c r="G390" t="s">
        <v>9</v>
      </c>
      <c r="H390" t="s">
        <v>13</v>
      </c>
      <c r="I390" t="str">
        <f>IF(Table1[[#This Row],[Income]]&lt;=30000, "Low Income", IF(Table1[[#This Row],[Income]]&lt;=60000,"Medium Income","High Income"))</f>
        <v>High Income</v>
      </c>
      <c r="J390" s="1">
        <f>Table1[[#This Row],[LoanAmount]]/Table1[[#This Row],[Income]]</f>
        <v>0.15141400812440167</v>
      </c>
    </row>
    <row r="391" spans="1:10" x14ac:dyDescent="0.3">
      <c r="A391">
        <v>466</v>
      </c>
      <c r="B391">
        <v>43</v>
      </c>
      <c r="C391" t="s">
        <v>8</v>
      </c>
      <c r="D391">
        <v>49084</v>
      </c>
      <c r="E391">
        <v>17669</v>
      </c>
      <c r="F391">
        <v>723</v>
      </c>
      <c r="G391" t="s">
        <v>12</v>
      </c>
      <c r="H391" t="s">
        <v>13</v>
      </c>
      <c r="I391" t="str">
        <f>IF(Table1[[#This Row],[Income]]&lt;=30000, "Low Income", IF(Table1[[#This Row],[Income]]&lt;=60000,"Medium Income","High Income"))</f>
        <v>Medium Income</v>
      </c>
      <c r="J391" s="1">
        <f>Table1[[#This Row],[LoanAmount]]/Table1[[#This Row],[Income]]</f>
        <v>0.35997473718523348</v>
      </c>
    </row>
    <row r="392" spans="1:10" x14ac:dyDescent="0.3">
      <c r="A392">
        <v>468</v>
      </c>
      <c r="B392">
        <v>57</v>
      </c>
      <c r="C392" t="s">
        <v>11</v>
      </c>
      <c r="D392">
        <v>60105</v>
      </c>
      <c r="E392">
        <v>7816</v>
      </c>
      <c r="F392">
        <v>835</v>
      </c>
      <c r="G392" t="s">
        <v>12</v>
      </c>
      <c r="H392" t="s">
        <v>14</v>
      </c>
      <c r="I392" t="str">
        <f>IF(Table1[[#This Row],[Income]]&lt;=30000, "Low Income", IF(Table1[[#This Row],[Income]]&lt;=60000,"Medium Income","High Income"))</f>
        <v>High Income</v>
      </c>
      <c r="J392" s="1">
        <f>Table1[[#This Row],[LoanAmount]]/Table1[[#This Row],[Income]]</f>
        <v>0.13003909824473839</v>
      </c>
    </row>
    <row r="393" spans="1:10" x14ac:dyDescent="0.3">
      <c r="A393">
        <v>469</v>
      </c>
      <c r="B393">
        <v>32</v>
      </c>
      <c r="C393" t="s">
        <v>8</v>
      </c>
      <c r="D393">
        <v>54575</v>
      </c>
      <c r="E393">
        <v>12639</v>
      </c>
      <c r="F393">
        <v>510</v>
      </c>
      <c r="G393" t="s">
        <v>9</v>
      </c>
      <c r="H393" t="s">
        <v>10</v>
      </c>
      <c r="I393" t="str">
        <f>IF(Table1[[#This Row],[Income]]&lt;=30000, "Low Income", IF(Table1[[#This Row],[Income]]&lt;=60000,"Medium Income","High Income"))</f>
        <v>Medium Income</v>
      </c>
      <c r="J393" s="1">
        <f>Table1[[#This Row],[LoanAmount]]/Table1[[#This Row],[Income]]</f>
        <v>0.23158955565735226</v>
      </c>
    </row>
    <row r="394" spans="1:10" x14ac:dyDescent="0.3">
      <c r="A394">
        <v>471</v>
      </c>
      <c r="B394">
        <v>43</v>
      </c>
      <c r="C394" t="s">
        <v>11</v>
      </c>
      <c r="D394">
        <v>51451</v>
      </c>
      <c r="E394">
        <v>14965</v>
      </c>
      <c r="F394">
        <v>522</v>
      </c>
      <c r="G394" t="s">
        <v>9</v>
      </c>
      <c r="H394" t="s">
        <v>10</v>
      </c>
      <c r="I394" t="str">
        <f>IF(Table1[[#This Row],[Income]]&lt;=30000, "Low Income", IF(Table1[[#This Row],[Income]]&lt;=60000,"Medium Income","High Income"))</f>
        <v>Medium Income</v>
      </c>
      <c r="J394" s="1">
        <f>Table1[[#This Row],[LoanAmount]]/Table1[[#This Row],[Income]]</f>
        <v>0.29085926415424385</v>
      </c>
    </row>
    <row r="395" spans="1:10" x14ac:dyDescent="0.3">
      <c r="A395">
        <v>472</v>
      </c>
      <c r="B395">
        <v>45</v>
      </c>
      <c r="C395" t="s">
        <v>11</v>
      </c>
      <c r="D395">
        <v>22227</v>
      </c>
      <c r="E395">
        <v>19146</v>
      </c>
      <c r="F395">
        <v>804</v>
      </c>
      <c r="G395" t="s">
        <v>9</v>
      </c>
      <c r="H395" t="s">
        <v>14</v>
      </c>
      <c r="I395" t="str">
        <f>IF(Table1[[#This Row],[Income]]&lt;=30000, "Low Income", IF(Table1[[#This Row],[Income]]&lt;=60000,"Medium Income","High Income"))</f>
        <v>Low Income</v>
      </c>
      <c r="J395" s="1">
        <f>Table1[[#This Row],[LoanAmount]]/Table1[[#This Row],[Income]]</f>
        <v>0.86138480226751246</v>
      </c>
    </row>
    <row r="396" spans="1:10" x14ac:dyDescent="0.3">
      <c r="A396">
        <v>474</v>
      </c>
      <c r="B396">
        <v>50</v>
      </c>
      <c r="C396" t="s">
        <v>8</v>
      </c>
      <c r="D396">
        <v>51041</v>
      </c>
      <c r="E396">
        <v>1040</v>
      </c>
      <c r="F396">
        <v>501</v>
      </c>
      <c r="G396" t="s">
        <v>9</v>
      </c>
      <c r="H396" t="s">
        <v>10</v>
      </c>
      <c r="I396" t="str">
        <f>IF(Table1[[#This Row],[Income]]&lt;=30000, "Low Income", IF(Table1[[#This Row],[Income]]&lt;=60000,"Medium Income","High Income"))</f>
        <v>Medium Income</v>
      </c>
      <c r="J396" s="1">
        <f>Table1[[#This Row],[LoanAmount]]/Table1[[#This Row],[Income]]</f>
        <v>2.037577633667052E-2</v>
      </c>
    </row>
    <row r="397" spans="1:10" x14ac:dyDescent="0.3">
      <c r="A397">
        <v>475</v>
      </c>
      <c r="B397">
        <v>37</v>
      </c>
      <c r="C397" t="s">
        <v>11</v>
      </c>
      <c r="D397">
        <v>38384</v>
      </c>
      <c r="E397">
        <v>6827</v>
      </c>
      <c r="F397">
        <v>640</v>
      </c>
      <c r="G397" t="s">
        <v>9</v>
      </c>
      <c r="H397" t="s">
        <v>10</v>
      </c>
      <c r="I397" t="str">
        <f>IF(Table1[[#This Row],[Income]]&lt;=30000, "Low Income", IF(Table1[[#This Row],[Income]]&lt;=60000,"Medium Income","High Income"))</f>
        <v>Medium Income</v>
      </c>
      <c r="J397" s="1">
        <f>Table1[[#This Row],[LoanAmount]]/Table1[[#This Row],[Income]]</f>
        <v>0.17786056690287619</v>
      </c>
    </row>
    <row r="398" spans="1:10" x14ac:dyDescent="0.3">
      <c r="A398">
        <v>476</v>
      </c>
      <c r="B398">
        <v>40</v>
      </c>
      <c r="C398" t="s">
        <v>11</v>
      </c>
      <c r="D398">
        <v>15145</v>
      </c>
      <c r="E398">
        <v>9259</v>
      </c>
      <c r="F398">
        <v>720</v>
      </c>
      <c r="G398" t="s">
        <v>9</v>
      </c>
      <c r="H398" t="s">
        <v>13</v>
      </c>
      <c r="I398" t="str">
        <f>IF(Table1[[#This Row],[Income]]&lt;=30000, "Low Income", IF(Table1[[#This Row],[Income]]&lt;=60000,"Medium Income","High Income"))</f>
        <v>Low Income</v>
      </c>
      <c r="J398" s="1">
        <f>Table1[[#This Row],[LoanAmount]]/Table1[[#This Row],[Income]]</f>
        <v>0.6113568834598877</v>
      </c>
    </row>
    <row r="399" spans="1:10" x14ac:dyDescent="0.3">
      <c r="A399">
        <v>477</v>
      </c>
      <c r="B399">
        <v>45</v>
      </c>
      <c r="C399" t="s">
        <v>8</v>
      </c>
      <c r="D399">
        <v>52778</v>
      </c>
      <c r="E399">
        <v>18371</v>
      </c>
      <c r="F399">
        <v>590</v>
      </c>
      <c r="G399" t="s">
        <v>9</v>
      </c>
      <c r="H399" t="s">
        <v>10</v>
      </c>
      <c r="I399" t="str">
        <f>IF(Table1[[#This Row],[Income]]&lt;=30000, "Low Income", IF(Table1[[#This Row],[Income]]&lt;=60000,"Medium Income","High Income"))</f>
        <v>Medium Income</v>
      </c>
      <c r="J399" s="1">
        <f>Table1[[#This Row],[LoanAmount]]/Table1[[#This Row],[Income]]</f>
        <v>0.3480806396604646</v>
      </c>
    </row>
    <row r="400" spans="1:10" x14ac:dyDescent="0.3">
      <c r="A400">
        <v>478</v>
      </c>
      <c r="B400">
        <v>42</v>
      </c>
      <c r="C400" t="s">
        <v>11</v>
      </c>
      <c r="D400">
        <v>31035</v>
      </c>
      <c r="E400">
        <v>15849</v>
      </c>
      <c r="F400">
        <v>616</v>
      </c>
      <c r="G400" t="s">
        <v>9</v>
      </c>
      <c r="H400" t="s">
        <v>10</v>
      </c>
      <c r="I400" t="str">
        <f>IF(Table1[[#This Row],[Income]]&lt;=30000, "Low Income", IF(Table1[[#This Row],[Income]]&lt;=60000,"Medium Income","High Income"))</f>
        <v>Medium Income</v>
      </c>
      <c r="J400" s="1">
        <f>Table1[[#This Row],[LoanAmount]]/Table1[[#This Row],[Income]]</f>
        <v>0.51068148864185592</v>
      </c>
    </row>
    <row r="401" spans="1:10" x14ac:dyDescent="0.3">
      <c r="A401">
        <v>479</v>
      </c>
      <c r="B401">
        <v>33</v>
      </c>
      <c r="C401" t="s">
        <v>11</v>
      </c>
      <c r="D401">
        <v>18040</v>
      </c>
      <c r="E401">
        <v>17232</v>
      </c>
      <c r="F401">
        <v>450</v>
      </c>
      <c r="G401" t="s">
        <v>9</v>
      </c>
      <c r="H401" t="s">
        <v>10</v>
      </c>
      <c r="I401" t="str">
        <f>IF(Table1[[#This Row],[Income]]&lt;=30000, "Low Income", IF(Table1[[#This Row],[Income]]&lt;=60000,"Medium Income","High Income"))</f>
        <v>Low Income</v>
      </c>
      <c r="J401" s="1">
        <f>Table1[[#This Row],[LoanAmount]]/Table1[[#This Row],[Income]]</f>
        <v>0.95521064301552105</v>
      </c>
    </row>
    <row r="402" spans="1:10" x14ac:dyDescent="0.3">
      <c r="A402">
        <v>480</v>
      </c>
      <c r="B402">
        <v>39</v>
      </c>
      <c r="C402" t="s">
        <v>11</v>
      </c>
      <c r="D402">
        <v>57422</v>
      </c>
      <c r="E402">
        <v>8804</v>
      </c>
      <c r="F402">
        <v>691</v>
      </c>
      <c r="G402" t="s">
        <v>12</v>
      </c>
      <c r="H402" t="s">
        <v>13</v>
      </c>
      <c r="I402" t="str">
        <f>IF(Table1[[#This Row],[Income]]&lt;=30000, "Low Income", IF(Table1[[#This Row],[Income]]&lt;=60000,"Medium Income","High Income"))</f>
        <v>Medium Income</v>
      </c>
      <c r="J402" s="1">
        <f>Table1[[#This Row],[LoanAmount]]/Table1[[#This Row],[Income]]</f>
        <v>0.15332102678415938</v>
      </c>
    </row>
    <row r="403" spans="1:10" x14ac:dyDescent="0.3">
      <c r="A403">
        <v>481</v>
      </c>
      <c r="B403">
        <v>56</v>
      </c>
      <c r="C403" t="s">
        <v>8</v>
      </c>
      <c r="D403">
        <v>48500</v>
      </c>
      <c r="E403">
        <v>6374</v>
      </c>
      <c r="F403">
        <v>480</v>
      </c>
      <c r="G403" t="s">
        <v>9</v>
      </c>
      <c r="H403" t="s">
        <v>10</v>
      </c>
      <c r="I403" t="str">
        <f>IF(Table1[[#This Row],[Income]]&lt;=30000, "Low Income", IF(Table1[[#This Row],[Income]]&lt;=60000,"Medium Income","High Income"))</f>
        <v>Medium Income</v>
      </c>
      <c r="J403" s="1">
        <f>Table1[[#This Row],[LoanAmount]]/Table1[[#This Row],[Income]]</f>
        <v>0.13142268041237112</v>
      </c>
    </row>
    <row r="404" spans="1:10" x14ac:dyDescent="0.3">
      <c r="A404">
        <v>483</v>
      </c>
      <c r="B404">
        <v>39</v>
      </c>
      <c r="C404" t="s">
        <v>8</v>
      </c>
      <c r="D404">
        <v>79174</v>
      </c>
      <c r="E404">
        <v>10277</v>
      </c>
      <c r="F404">
        <v>487</v>
      </c>
      <c r="G404" t="s">
        <v>9</v>
      </c>
      <c r="H404" t="s">
        <v>10</v>
      </c>
      <c r="I404" t="str">
        <f>IF(Table1[[#This Row],[Income]]&lt;=30000, "Low Income", IF(Table1[[#This Row],[Income]]&lt;=60000,"Medium Income","High Income"))</f>
        <v>High Income</v>
      </c>
      <c r="J404" s="1">
        <f>Table1[[#This Row],[LoanAmount]]/Table1[[#This Row],[Income]]</f>
        <v>0.12980271301184731</v>
      </c>
    </row>
    <row r="405" spans="1:10" x14ac:dyDescent="0.3">
      <c r="A405">
        <v>484</v>
      </c>
      <c r="B405">
        <v>32</v>
      </c>
      <c r="C405" t="s">
        <v>8</v>
      </c>
      <c r="D405">
        <v>41160</v>
      </c>
      <c r="E405">
        <v>19863</v>
      </c>
      <c r="F405">
        <v>593</v>
      </c>
      <c r="G405" t="s">
        <v>9</v>
      </c>
      <c r="H405" t="s">
        <v>10</v>
      </c>
      <c r="I405" t="str">
        <f>IF(Table1[[#This Row],[Income]]&lt;=30000, "Low Income", IF(Table1[[#This Row],[Income]]&lt;=60000,"Medium Income","High Income"))</f>
        <v>Medium Income</v>
      </c>
      <c r="J405" s="1">
        <f>Table1[[#This Row],[LoanAmount]]/Table1[[#This Row],[Income]]</f>
        <v>0.48258017492711369</v>
      </c>
    </row>
    <row r="406" spans="1:10" x14ac:dyDescent="0.3">
      <c r="A406">
        <v>485</v>
      </c>
      <c r="B406">
        <v>29</v>
      </c>
      <c r="C406" t="s">
        <v>8</v>
      </c>
      <c r="D406">
        <v>64634</v>
      </c>
      <c r="E406">
        <v>10885</v>
      </c>
      <c r="F406">
        <v>503</v>
      </c>
      <c r="G406" t="s">
        <v>9</v>
      </c>
      <c r="H406" t="s">
        <v>10</v>
      </c>
      <c r="I406" t="str">
        <f>IF(Table1[[#This Row],[Income]]&lt;=30000, "Low Income", IF(Table1[[#This Row],[Income]]&lt;=60000,"Medium Income","High Income"))</f>
        <v>High Income</v>
      </c>
      <c r="J406" s="1">
        <f>Table1[[#This Row],[LoanAmount]]/Table1[[#This Row],[Income]]</f>
        <v>0.16840981526750626</v>
      </c>
    </row>
    <row r="407" spans="1:10" x14ac:dyDescent="0.3">
      <c r="A407">
        <v>486</v>
      </c>
      <c r="B407">
        <v>27</v>
      </c>
      <c r="C407" t="s">
        <v>8</v>
      </c>
      <c r="D407">
        <v>67331</v>
      </c>
      <c r="E407">
        <v>1778</v>
      </c>
      <c r="F407">
        <v>670</v>
      </c>
      <c r="G407" t="s">
        <v>9</v>
      </c>
      <c r="H407" t="s">
        <v>13</v>
      </c>
      <c r="I407" t="str">
        <f>IF(Table1[[#This Row],[Income]]&lt;=30000, "Low Income", IF(Table1[[#This Row],[Income]]&lt;=60000,"Medium Income","High Income"))</f>
        <v>High Income</v>
      </c>
      <c r="J407" s="1">
        <f>Table1[[#This Row],[LoanAmount]]/Table1[[#This Row],[Income]]</f>
        <v>2.6406855683117732E-2</v>
      </c>
    </row>
    <row r="408" spans="1:10" x14ac:dyDescent="0.3">
      <c r="A408">
        <v>487</v>
      </c>
      <c r="B408">
        <v>48</v>
      </c>
      <c r="C408" t="s">
        <v>8</v>
      </c>
      <c r="D408">
        <v>32633</v>
      </c>
      <c r="E408">
        <v>2492</v>
      </c>
      <c r="F408">
        <v>495</v>
      </c>
      <c r="G408" t="s">
        <v>9</v>
      </c>
      <c r="H408" t="s">
        <v>10</v>
      </c>
      <c r="I408" t="str">
        <f>IF(Table1[[#This Row],[Income]]&lt;=30000, "Low Income", IF(Table1[[#This Row],[Income]]&lt;=60000,"Medium Income","High Income"))</f>
        <v>Medium Income</v>
      </c>
      <c r="J408" s="1">
        <f>Table1[[#This Row],[LoanAmount]]/Table1[[#This Row],[Income]]</f>
        <v>7.6364416388318576E-2</v>
      </c>
    </row>
    <row r="409" spans="1:10" x14ac:dyDescent="0.3">
      <c r="A409">
        <v>488</v>
      </c>
      <c r="B409">
        <v>34</v>
      </c>
      <c r="C409" t="s">
        <v>11</v>
      </c>
      <c r="D409">
        <v>44344</v>
      </c>
      <c r="E409">
        <v>18044</v>
      </c>
      <c r="F409">
        <v>822</v>
      </c>
      <c r="G409" t="s">
        <v>9</v>
      </c>
      <c r="H409" t="s">
        <v>14</v>
      </c>
      <c r="I409" t="str">
        <f>IF(Table1[[#This Row],[Income]]&lt;=30000, "Low Income", IF(Table1[[#This Row],[Income]]&lt;=60000,"Medium Income","High Income"))</f>
        <v>Medium Income</v>
      </c>
      <c r="J409" s="1">
        <f>Table1[[#This Row],[LoanAmount]]/Table1[[#This Row],[Income]]</f>
        <v>0.40690961573155332</v>
      </c>
    </row>
    <row r="410" spans="1:10" x14ac:dyDescent="0.3">
      <c r="A410">
        <v>489</v>
      </c>
      <c r="B410">
        <v>51</v>
      </c>
      <c r="C410" t="s">
        <v>11</v>
      </c>
      <c r="D410">
        <v>32014</v>
      </c>
      <c r="E410">
        <v>18732</v>
      </c>
      <c r="F410">
        <v>778</v>
      </c>
      <c r="G410" t="s">
        <v>9</v>
      </c>
      <c r="H410" t="s">
        <v>14</v>
      </c>
      <c r="I410" t="str">
        <f>IF(Table1[[#This Row],[Income]]&lt;=30000, "Low Income", IF(Table1[[#This Row],[Income]]&lt;=60000,"Medium Income","High Income"))</f>
        <v>Medium Income</v>
      </c>
      <c r="J410" s="1">
        <f>Table1[[#This Row],[LoanAmount]]/Table1[[#This Row],[Income]]</f>
        <v>0.58511901043293557</v>
      </c>
    </row>
    <row r="411" spans="1:10" x14ac:dyDescent="0.3">
      <c r="A411">
        <v>490</v>
      </c>
      <c r="B411">
        <v>39</v>
      </c>
      <c r="C411" t="s">
        <v>8</v>
      </c>
      <c r="D411">
        <v>29996</v>
      </c>
      <c r="E411">
        <v>14615</v>
      </c>
      <c r="F411">
        <v>597</v>
      </c>
      <c r="G411" t="s">
        <v>9</v>
      </c>
      <c r="H411" t="s">
        <v>10</v>
      </c>
      <c r="I411" t="str">
        <f>IF(Table1[[#This Row],[Income]]&lt;=30000, "Low Income", IF(Table1[[#This Row],[Income]]&lt;=60000,"Medium Income","High Income"))</f>
        <v>Low Income</v>
      </c>
      <c r="J411" s="1">
        <f>Table1[[#This Row],[LoanAmount]]/Table1[[#This Row],[Income]]</f>
        <v>0.48723163088411786</v>
      </c>
    </row>
    <row r="412" spans="1:10" x14ac:dyDescent="0.3">
      <c r="A412">
        <v>491</v>
      </c>
      <c r="B412">
        <v>36</v>
      </c>
      <c r="C412" t="s">
        <v>11</v>
      </c>
      <c r="D412">
        <v>64104</v>
      </c>
      <c r="E412">
        <v>13132</v>
      </c>
      <c r="F412">
        <v>400</v>
      </c>
      <c r="G412" t="s">
        <v>9</v>
      </c>
      <c r="H412" t="s">
        <v>10</v>
      </c>
      <c r="I412" t="str">
        <f>IF(Table1[[#This Row],[Income]]&lt;=30000, "Low Income", IF(Table1[[#This Row],[Income]]&lt;=60000,"Medium Income","High Income"))</f>
        <v>High Income</v>
      </c>
      <c r="J412" s="1">
        <f>Table1[[#This Row],[LoanAmount]]/Table1[[#This Row],[Income]]</f>
        <v>0.20485461125670784</v>
      </c>
    </row>
    <row r="413" spans="1:10" x14ac:dyDescent="0.3">
      <c r="A413">
        <v>493</v>
      </c>
      <c r="B413">
        <v>55</v>
      </c>
      <c r="C413" t="s">
        <v>8</v>
      </c>
      <c r="D413">
        <v>26695</v>
      </c>
      <c r="E413">
        <v>8851</v>
      </c>
      <c r="F413">
        <v>777</v>
      </c>
      <c r="G413" t="s">
        <v>12</v>
      </c>
      <c r="H413" t="s">
        <v>14</v>
      </c>
      <c r="I413" t="str">
        <f>IF(Table1[[#This Row],[Income]]&lt;=30000, "Low Income", IF(Table1[[#This Row],[Income]]&lt;=60000,"Medium Income","High Income"))</f>
        <v>Low Income</v>
      </c>
      <c r="J413" s="1">
        <f>Table1[[#This Row],[LoanAmount]]/Table1[[#This Row],[Income]]</f>
        <v>0.33156021726915152</v>
      </c>
    </row>
    <row r="414" spans="1:10" x14ac:dyDescent="0.3">
      <c r="A414">
        <v>494</v>
      </c>
      <c r="B414">
        <v>32</v>
      </c>
      <c r="C414" t="s">
        <v>11</v>
      </c>
      <c r="D414">
        <v>17852</v>
      </c>
      <c r="E414">
        <v>17288</v>
      </c>
      <c r="F414">
        <v>566</v>
      </c>
      <c r="G414" t="s">
        <v>9</v>
      </c>
      <c r="H414" t="s">
        <v>10</v>
      </c>
      <c r="I414" t="str">
        <f>IF(Table1[[#This Row],[Income]]&lt;=30000, "Low Income", IF(Table1[[#This Row],[Income]]&lt;=60000,"Medium Income","High Income"))</f>
        <v>Low Income</v>
      </c>
      <c r="J414" s="1">
        <f>Table1[[#This Row],[LoanAmount]]/Table1[[#This Row],[Income]]</f>
        <v>0.96840690118754202</v>
      </c>
    </row>
    <row r="415" spans="1:10" x14ac:dyDescent="0.3">
      <c r="A415">
        <v>496</v>
      </c>
      <c r="B415">
        <v>41</v>
      </c>
      <c r="C415" t="s">
        <v>11</v>
      </c>
      <c r="D415">
        <v>42042</v>
      </c>
      <c r="E415">
        <v>3044</v>
      </c>
      <c r="F415">
        <v>712</v>
      </c>
      <c r="G415" t="s">
        <v>12</v>
      </c>
      <c r="H415" t="s">
        <v>13</v>
      </c>
      <c r="I415" t="str">
        <f>IF(Table1[[#This Row],[Income]]&lt;=30000, "Low Income", IF(Table1[[#This Row],[Income]]&lt;=60000,"Medium Income","High Income"))</f>
        <v>Medium Income</v>
      </c>
      <c r="J415" s="1">
        <f>Table1[[#This Row],[LoanAmount]]/Table1[[#This Row],[Income]]</f>
        <v>7.2403786689500982E-2</v>
      </c>
    </row>
    <row r="416" spans="1:10" x14ac:dyDescent="0.3">
      <c r="A416">
        <v>497</v>
      </c>
      <c r="B416">
        <v>56</v>
      </c>
      <c r="C416" t="s">
        <v>11</v>
      </c>
      <c r="D416">
        <v>48755</v>
      </c>
      <c r="E416">
        <v>8368</v>
      </c>
      <c r="F416">
        <v>480</v>
      </c>
      <c r="G416" t="s">
        <v>9</v>
      </c>
      <c r="H416" t="s">
        <v>10</v>
      </c>
      <c r="I416" t="str">
        <f>IF(Table1[[#This Row],[Income]]&lt;=30000, "Low Income", IF(Table1[[#This Row],[Income]]&lt;=60000,"Medium Income","High Income"))</f>
        <v>Medium Income</v>
      </c>
      <c r="J416" s="1">
        <f>Table1[[#This Row],[LoanAmount]]/Table1[[#This Row],[Income]]</f>
        <v>0.17163367859706696</v>
      </c>
    </row>
    <row r="417" spans="1:10" x14ac:dyDescent="0.3">
      <c r="A417">
        <v>499</v>
      </c>
      <c r="B417">
        <v>36</v>
      </c>
      <c r="C417" t="s">
        <v>8</v>
      </c>
      <c r="D417">
        <v>38711</v>
      </c>
      <c r="E417">
        <v>10168</v>
      </c>
      <c r="F417">
        <v>650</v>
      </c>
      <c r="G417" t="s">
        <v>9</v>
      </c>
      <c r="H417" t="s">
        <v>13</v>
      </c>
      <c r="I417" t="str">
        <f>IF(Table1[[#This Row],[Income]]&lt;=30000, "Low Income", IF(Table1[[#This Row],[Income]]&lt;=60000,"Medium Income","High Income"))</f>
        <v>Medium Income</v>
      </c>
      <c r="J417" s="1">
        <f>Table1[[#This Row],[LoanAmount]]/Table1[[#This Row],[Income]]</f>
        <v>0.26266435896773527</v>
      </c>
    </row>
    <row r="418" spans="1:10" x14ac:dyDescent="0.3">
      <c r="A418">
        <v>500</v>
      </c>
      <c r="B418">
        <v>59</v>
      </c>
      <c r="C418" t="s">
        <v>8</v>
      </c>
      <c r="D418">
        <v>41122</v>
      </c>
      <c r="E418">
        <v>18111</v>
      </c>
      <c r="F418">
        <v>568</v>
      </c>
      <c r="G418" t="s">
        <v>9</v>
      </c>
      <c r="H418" t="s">
        <v>10</v>
      </c>
      <c r="I418" t="str">
        <f>IF(Table1[[#This Row],[Income]]&lt;=30000, "Low Income", IF(Table1[[#This Row],[Income]]&lt;=60000,"Medium Income","High Income"))</f>
        <v>Medium Income</v>
      </c>
      <c r="J418" s="1">
        <f>Table1[[#This Row],[LoanAmount]]/Table1[[#This Row],[Income]]</f>
        <v>0.44042118573999317</v>
      </c>
    </row>
    <row r="419" spans="1:10" x14ac:dyDescent="0.3">
      <c r="A419">
        <v>501</v>
      </c>
      <c r="B419">
        <v>59</v>
      </c>
      <c r="C419" t="s">
        <v>8</v>
      </c>
      <c r="D419">
        <v>72993</v>
      </c>
      <c r="E419">
        <v>12328</v>
      </c>
      <c r="F419">
        <v>472</v>
      </c>
      <c r="G419" t="s">
        <v>9</v>
      </c>
      <c r="H419" t="s">
        <v>10</v>
      </c>
      <c r="I419" t="str">
        <f>IF(Table1[[#This Row],[Income]]&lt;=30000, "Low Income", IF(Table1[[#This Row],[Income]]&lt;=60000,"Medium Income","High Income"))</f>
        <v>High Income</v>
      </c>
      <c r="J419" s="1">
        <f>Table1[[#This Row],[LoanAmount]]/Table1[[#This Row],[Income]]</f>
        <v>0.1688929075390791</v>
      </c>
    </row>
    <row r="420" spans="1:10" x14ac:dyDescent="0.3">
      <c r="A420">
        <v>502</v>
      </c>
      <c r="B420">
        <v>34</v>
      </c>
      <c r="C420" t="s">
        <v>11</v>
      </c>
      <c r="D420">
        <v>24160</v>
      </c>
      <c r="E420">
        <v>14319</v>
      </c>
      <c r="F420">
        <v>540</v>
      </c>
      <c r="G420" t="s">
        <v>9</v>
      </c>
      <c r="H420" t="s">
        <v>10</v>
      </c>
      <c r="I420" t="str">
        <f>IF(Table1[[#This Row],[Income]]&lt;=30000, "Low Income", IF(Table1[[#This Row],[Income]]&lt;=60000,"Medium Income","High Income"))</f>
        <v>Low Income</v>
      </c>
      <c r="J420" s="1">
        <f>Table1[[#This Row],[LoanAmount]]/Table1[[#This Row],[Income]]</f>
        <v>0.59267384105960264</v>
      </c>
    </row>
    <row r="421" spans="1:10" x14ac:dyDescent="0.3">
      <c r="A421">
        <v>503</v>
      </c>
      <c r="B421">
        <v>51</v>
      </c>
      <c r="C421" t="s">
        <v>8</v>
      </c>
      <c r="D421">
        <v>42213</v>
      </c>
      <c r="E421">
        <v>1342</v>
      </c>
      <c r="F421">
        <v>469</v>
      </c>
      <c r="G421" t="s">
        <v>9</v>
      </c>
      <c r="H421" t="s">
        <v>10</v>
      </c>
      <c r="I421" t="str">
        <f>IF(Table1[[#This Row],[Income]]&lt;=30000, "Low Income", IF(Table1[[#This Row],[Income]]&lt;=60000,"Medium Income","High Income"))</f>
        <v>Medium Income</v>
      </c>
      <c r="J421" s="1">
        <f>Table1[[#This Row],[LoanAmount]]/Table1[[#This Row],[Income]]</f>
        <v>3.1791154383720654E-2</v>
      </c>
    </row>
    <row r="422" spans="1:10" x14ac:dyDescent="0.3">
      <c r="A422">
        <v>504</v>
      </c>
      <c r="B422">
        <v>25</v>
      </c>
      <c r="C422" t="s">
        <v>11</v>
      </c>
      <c r="D422">
        <v>65252</v>
      </c>
      <c r="E422">
        <v>2447</v>
      </c>
      <c r="F422">
        <v>661</v>
      </c>
      <c r="G422" t="s">
        <v>9</v>
      </c>
      <c r="H422" t="s">
        <v>13</v>
      </c>
      <c r="I422" t="str">
        <f>IF(Table1[[#This Row],[Income]]&lt;=30000, "Low Income", IF(Table1[[#This Row],[Income]]&lt;=60000,"Medium Income","High Income"))</f>
        <v>High Income</v>
      </c>
      <c r="J422" s="1">
        <f>Table1[[#This Row],[LoanAmount]]/Table1[[#This Row],[Income]]</f>
        <v>3.750076626003801E-2</v>
      </c>
    </row>
    <row r="423" spans="1:10" x14ac:dyDescent="0.3">
      <c r="A423">
        <v>505</v>
      </c>
      <c r="B423">
        <v>55</v>
      </c>
      <c r="C423" t="s">
        <v>11</v>
      </c>
      <c r="D423">
        <v>54420</v>
      </c>
      <c r="E423">
        <v>7581</v>
      </c>
      <c r="F423">
        <v>739</v>
      </c>
      <c r="G423" t="s">
        <v>12</v>
      </c>
      <c r="H423" t="s">
        <v>13</v>
      </c>
      <c r="I423" t="str">
        <f>IF(Table1[[#This Row],[Income]]&lt;=30000, "Low Income", IF(Table1[[#This Row],[Income]]&lt;=60000,"Medium Income","High Income"))</f>
        <v>Medium Income</v>
      </c>
      <c r="J423" s="1">
        <f>Table1[[#This Row],[LoanAmount]]/Table1[[#This Row],[Income]]</f>
        <v>0.13930540242557884</v>
      </c>
    </row>
    <row r="424" spans="1:10" x14ac:dyDescent="0.3">
      <c r="A424">
        <v>506</v>
      </c>
      <c r="B424">
        <v>43</v>
      </c>
      <c r="C424" t="s">
        <v>11</v>
      </c>
      <c r="D424">
        <v>72784</v>
      </c>
      <c r="E424">
        <v>12851</v>
      </c>
      <c r="F424">
        <v>707</v>
      </c>
      <c r="G424" t="s">
        <v>12</v>
      </c>
      <c r="H424" t="s">
        <v>13</v>
      </c>
      <c r="I424" t="str">
        <f>IF(Table1[[#This Row],[Income]]&lt;=30000, "Low Income", IF(Table1[[#This Row],[Income]]&lt;=60000,"Medium Income","High Income"))</f>
        <v>High Income</v>
      </c>
      <c r="J424" s="1">
        <f>Table1[[#This Row],[LoanAmount]]/Table1[[#This Row],[Income]]</f>
        <v>0.17656353044625192</v>
      </c>
    </row>
    <row r="425" spans="1:10" x14ac:dyDescent="0.3">
      <c r="A425">
        <v>507</v>
      </c>
      <c r="B425">
        <v>49</v>
      </c>
      <c r="C425" t="s">
        <v>11</v>
      </c>
      <c r="D425">
        <v>22421</v>
      </c>
      <c r="E425">
        <v>7317</v>
      </c>
      <c r="F425">
        <v>644</v>
      </c>
      <c r="G425" t="s">
        <v>9</v>
      </c>
      <c r="H425" t="s">
        <v>10</v>
      </c>
      <c r="I425" t="str">
        <f>IF(Table1[[#This Row],[Income]]&lt;=30000, "Low Income", IF(Table1[[#This Row],[Income]]&lt;=60000,"Medium Income","High Income"))</f>
        <v>Low Income</v>
      </c>
      <c r="J425" s="1">
        <f>Table1[[#This Row],[LoanAmount]]/Table1[[#This Row],[Income]]</f>
        <v>0.32634583649257393</v>
      </c>
    </row>
    <row r="426" spans="1:10" x14ac:dyDescent="0.3">
      <c r="A426">
        <v>508</v>
      </c>
      <c r="B426">
        <v>31</v>
      </c>
      <c r="C426" t="s">
        <v>8</v>
      </c>
      <c r="D426">
        <v>36400</v>
      </c>
      <c r="E426">
        <v>17910</v>
      </c>
      <c r="F426">
        <v>402</v>
      </c>
      <c r="G426" t="s">
        <v>9</v>
      </c>
      <c r="H426" t="s">
        <v>10</v>
      </c>
      <c r="I426" t="str">
        <f>IF(Table1[[#This Row],[Income]]&lt;=30000, "Low Income", IF(Table1[[#This Row],[Income]]&lt;=60000,"Medium Income","High Income"))</f>
        <v>Medium Income</v>
      </c>
      <c r="J426" s="1">
        <f>Table1[[#This Row],[LoanAmount]]/Table1[[#This Row],[Income]]</f>
        <v>0.49203296703296701</v>
      </c>
    </row>
    <row r="427" spans="1:10" x14ac:dyDescent="0.3">
      <c r="A427">
        <v>510</v>
      </c>
      <c r="B427">
        <v>32</v>
      </c>
      <c r="C427" t="s">
        <v>11</v>
      </c>
      <c r="D427">
        <v>32727</v>
      </c>
      <c r="E427">
        <v>13946</v>
      </c>
      <c r="F427">
        <v>462</v>
      </c>
      <c r="G427" t="s">
        <v>9</v>
      </c>
      <c r="H427" t="s">
        <v>10</v>
      </c>
      <c r="I427" t="str">
        <f>IF(Table1[[#This Row],[Income]]&lt;=30000, "Low Income", IF(Table1[[#This Row],[Income]]&lt;=60000,"Medium Income","High Income"))</f>
        <v>Medium Income</v>
      </c>
      <c r="J427" s="1">
        <f>Table1[[#This Row],[LoanAmount]]/Table1[[#This Row],[Income]]</f>
        <v>0.42613132887218502</v>
      </c>
    </row>
    <row r="428" spans="1:10" x14ac:dyDescent="0.3">
      <c r="A428">
        <v>511</v>
      </c>
      <c r="B428">
        <v>29</v>
      </c>
      <c r="C428" t="s">
        <v>8</v>
      </c>
      <c r="D428">
        <v>61882</v>
      </c>
      <c r="E428">
        <v>17789</v>
      </c>
      <c r="F428">
        <v>448</v>
      </c>
      <c r="G428" t="s">
        <v>9</v>
      </c>
      <c r="H428" t="s">
        <v>10</v>
      </c>
      <c r="I428" t="str">
        <f>IF(Table1[[#This Row],[Income]]&lt;=30000, "Low Income", IF(Table1[[#This Row],[Income]]&lt;=60000,"Medium Income","High Income"))</f>
        <v>High Income</v>
      </c>
      <c r="J428" s="1">
        <f>Table1[[#This Row],[LoanAmount]]/Table1[[#This Row],[Income]]</f>
        <v>0.28746646843993406</v>
      </c>
    </row>
    <row r="429" spans="1:10" x14ac:dyDescent="0.3">
      <c r="A429">
        <v>512</v>
      </c>
      <c r="B429">
        <v>30</v>
      </c>
      <c r="C429" t="s">
        <v>11</v>
      </c>
      <c r="D429">
        <v>19358</v>
      </c>
      <c r="E429">
        <v>15567</v>
      </c>
      <c r="F429">
        <v>475</v>
      </c>
      <c r="G429" t="s">
        <v>9</v>
      </c>
      <c r="H429" t="s">
        <v>10</v>
      </c>
      <c r="I429" t="str">
        <f>IF(Table1[[#This Row],[Income]]&lt;=30000, "Low Income", IF(Table1[[#This Row],[Income]]&lt;=60000,"Medium Income","High Income"))</f>
        <v>Low Income</v>
      </c>
      <c r="J429" s="1">
        <f>Table1[[#This Row],[LoanAmount]]/Table1[[#This Row],[Income]]</f>
        <v>0.80416365326996586</v>
      </c>
    </row>
    <row r="430" spans="1:10" x14ac:dyDescent="0.3">
      <c r="A430">
        <v>513</v>
      </c>
      <c r="B430">
        <v>37</v>
      </c>
      <c r="C430" t="s">
        <v>8</v>
      </c>
      <c r="D430">
        <v>76073</v>
      </c>
      <c r="E430">
        <v>15868</v>
      </c>
      <c r="F430">
        <v>767</v>
      </c>
      <c r="G430" t="s">
        <v>12</v>
      </c>
      <c r="H430" t="s">
        <v>14</v>
      </c>
      <c r="I430" t="str">
        <f>IF(Table1[[#This Row],[Income]]&lt;=30000, "Low Income", IF(Table1[[#This Row],[Income]]&lt;=60000,"Medium Income","High Income"))</f>
        <v>High Income</v>
      </c>
      <c r="J430" s="1">
        <f>Table1[[#This Row],[LoanAmount]]/Table1[[#This Row],[Income]]</f>
        <v>0.20858911834685104</v>
      </c>
    </row>
    <row r="431" spans="1:10" x14ac:dyDescent="0.3">
      <c r="A431">
        <v>514</v>
      </c>
      <c r="B431">
        <v>58</v>
      </c>
      <c r="C431" t="s">
        <v>8</v>
      </c>
      <c r="D431">
        <v>43482</v>
      </c>
      <c r="E431">
        <v>10765</v>
      </c>
      <c r="F431">
        <v>574</v>
      </c>
      <c r="G431" t="s">
        <v>9</v>
      </c>
      <c r="H431" t="s">
        <v>10</v>
      </c>
      <c r="I431" t="str">
        <f>IF(Table1[[#This Row],[Income]]&lt;=30000, "Low Income", IF(Table1[[#This Row],[Income]]&lt;=60000,"Medium Income","High Income"))</f>
        <v>Medium Income</v>
      </c>
      <c r="J431" s="1">
        <f>Table1[[#This Row],[LoanAmount]]/Table1[[#This Row],[Income]]</f>
        <v>0.24757370866105516</v>
      </c>
    </row>
    <row r="432" spans="1:10" x14ac:dyDescent="0.3">
      <c r="A432">
        <v>516</v>
      </c>
      <c r="B432">
        <v>33</v>
      </c>
      <c r="C432" t="s">
        <v>8</v>
      </c>
      <c r="D432">
        <v>47117</v>
      </c>
      <c r="E432">
        <v>19230</v>
      </c>
      <c r="F432">
        <v>582</v>
      </c>
      <c r="G432" t="s">
        <v>9</v>
      </c>
      <c r="H432" t="s">
        <v>10</v>
      </c>
      <c r="I432" t="str">
        <f>IF(Table1[[#This Row],[Income]]&lt;=30000, "Low Income", IF(Table1[[#This Row],[Income]]&lt;=60000,"Medium Income","High Income"))</f>
        <v>Medium Income</v>
      </c>
      <c r="J432" s="1">
        <f>Table1[[#This Row],[LoanAmount]]/Table1[[#This Row],[Income]]</f>
        <v>0.40813294564594521</v>
      </c>
    </row>
    <row r="433" spans="1:10" x14ac:dyDescent="0.3">
      <c r="A433">
        <v>517</v>
      </c>
      <c r="B433">
        <v>29</v>
      </c>
      <c r="C433" t="s">
        <v>11</v>
      </c>
      <c r="D433">
        <v>38164</v>
      </c>
      <c r="E433">
        <v>18862</v>
      </c>
      <c r="F433">
        <v>591</v>
      </c>
      <c r="G433" t="s">
        <v>9</v>
      </c>
      <c r="H433" t="s">
        <v>10</v>
      </c>
      <c r="I433" t="str">
        <f>IF(Table1[[#This Row],[Income]]&lt;=30000, "Low Income", IF(Table1[[#This Row],[Income]]&lt;=60000,"Medium Income","High Income"))</f>
        <v>Medium Income</v>
      </c>
      <c r="J433" s="1">
        <f>Table1[[#This Row],[LoanAmount]]/Table1[[#This Row],[Income]]</f>
        <v>0.4942354050938057</v>
      </c>
    </row>
    <row r="434" spans="1:10" x14ac:dyDescent="0.3">
      <c r="A434">
        <v>518</v>
      </c>
      <c r="B434">
        <v>47</v>
      </c>
      <c r="C434" t="s">
        <v>8</v>
      </c>
      <c r="D434">
        <v>46910</v>
      </c>
      <c r="E434">
        <v>11587</v>
      </c>
      <c r="F434">
        <v>464</v>
      </c>
      <c r="G434" t="s">
        <v>9</v>
      </c>
      <c r="H434" t="s">
        <v>10</v>
      </c>
      <c r="I434" t="str">
        <f>IF(Table1[[#This Row],[Income]]&lt;=30000, "Low Income", IF(Table1[[#This Row],[Income]]&lt;=60000,"Medium Income","High Income"))</f>
        <v>Medium Income</v>
      </c>
      <c r="J434" s="1">
        <f>Table1[[#This Row],[LoanAmount]]/Table1[[#This Row],[Income]]</f>
        <v>0.2470049030057557</v>
      </c>
    </row>
    <row r="435" spans="1:10" x14ac:dyDescent="0.3">
      <c r="A435">
        <v>519</v>
      </c>
      <c r="B435">
        <v>22</v>
      </c>
      <c r="C435" t="s">
        <v>11</v>
      </c>
      <c r="D435">
        <v>76352</v>
      </c>
      <c r="E435">
        <v>1771</v>
      </c>
      <c r="F435">
        <v>736</v>
      </c>
      <c r="G435" t="s">
        <v>12</v>
      </c>
      <c r="H435" t="s">
        <v>13</v>
      </c>
      <c r="I435" t="str">
        <f>IF(Table1[[#This Row],[Income]]&lt;=30000, "Low Income", IF(Table1[[#This Row],[Income]]&lt;=60000,"Medium Income","High Income"))</f>
        <v>High Income</v>
      </c>
      <c r="J435" s="1">
        <f>Table1[[#This Row],[LoanAmount]]/Table1[[#This Row],[Income]]</f>
        <v>2.3195201173512155E-2</v>
      </c>
    </row>
    <row r="436" spans="1:10" x14ac:dyDescent="0.3">
      <c r="A436">
        <v>520</v>
      </c>
      <c r="B436">
        <v>25</v>
      </c>
      <c r="C436" t="s">
        <v>11</v>
      </c>
      <c r="D436">
        <v>47496</v>
      </c>
      <c r="E436">
        <v>17300</v>
      </c>
      <c r="F436">
        <v>670</v>
      </c>
      <c r="G436" t="s">
        <v>9</v>
      </c>
      <c r="H436" t="s">
        <v>13</v>
      </c>
      <c r="I436" t="str">
        <f>IF(Table1[[#This Row],[Income]]&lt;=30000, "Low Income", IF(Table1[[#This Row],[Income]]&lt;=60000,"Medium Income","High Income"))</f>
        <v>Medium Income</v>
      </c>
      <c r="J436" s="1">
        <f>Table1[[#This Row],[LoanAmount]]/Table1[[#This Row],[Income]]</f>
        <v>0.36424119925888498</v>
      </c>
    </row>
    <row r="437" spans="1:10" x14ac:dyDescent="0.3">
      <c r="A437">
        <v>521</v>
      </c>
      <c r="B437">
        <v>49</v>
      </c>
      <c r="C437" t="s">
        <v>8</v>
      </c>
      <c r="D437">
        <v>70754</v>
      </c>
      <c r="E437">
        <v>9770</v>
      </c>
      <c r="F437">
        <v>499</v>
      </c>
      <c r="G437" t="s">
        <v>9</v>
      </c>
      <c r="H437" t="s">
        <v>10</v>
      </c>
      <c r="I437" t="str">
        <f>IF(Table1[[#This Row],[Income]]&lt;=30000, "Low Income", IF(Table1[[#This Row],[Income]]&lt;=60000,"Medium Income","High Income"))</f>
        <v>High Income</v>
      </c>
      <c r="J437" s="1">
        <f>Table1[[#This Row],[LoanAmount]]/Table1[[#This Row],[Income]]</f>
        <v>0.13808406591853464</v>
      </c>
    </row>
    <row r="438" spans="1:10" x14ac:dyDescent="0.3">
      <c r="A438">
        <v>522</v>
      </c>
      <c r="B438">
        <v>57</v>
      </c>
      <c r="C438" t="s">
        <v>8</v>
      </c>
      <c r="D438">
        <v>77438</v>
      </c>
      <c r="E438">
        <v>12093</v>
      </c>
      <c r="F438">
        <v>431</v>
      </c>
      <c r="G438" t="s">
        <v>9</v>
      </c>
      <c r="H438" t="s">
        <v>10</v>
      </c>
      <c r="I438" t="str">
        <f>IF(Table1[[#This Row],[Income]]&lt;=30000, "Low Income", IF(Table1[[#This Row],[Income]]&lt;=60000,"Medium Income","High Income"))</f>
        <v>High Income</v>
      </c>
      <c r="J438" s="1">
        <f>Table1[[#This Row],[LoanAmount]]/Table1[[#This Row],[Income]]</f>
        <v>0.15616364058989127</v>
      </c>
    </row>
    <row r="439" spans="1:10" x14ac:dyDescent="0.3">
      <c r="A439">
        <v>523</v>
      </c>
      <c r="B439">
        <v>58</v>
      </c>
      <c r="C439" t="s">
        <v>11</v>
      </c>
      <c r="D439">
        <v>59311</v>
      </c>
      <c r="E439">
        <v>14803</v>
      </c>
      <c r="F439">
        <v>751</v>
      </c>
      <c r="G439" t="s">
        <v>12</v>
      </c>
      <c r="H439" t="s">
        <v>14</v>
      </c>
      <c r="I439" t="str">
        <f>IF(Table1[[#This Row],[Income]]&lt;=30000, "Low Income", IF(Table1[[#This Row],[Income]]&lt;=60000,"Medium Income","High Income"))</f>
        <v>Medium Income</v>
      </c>
      <c r="J439" s="1">
        <f>Table1[[#This Row],[LoanAmount]]/Table1[[#This Row],[Income]]</f>
        <v>0.24958270809799193</v>
      </c>
    </row>
    <row r="440" spans="1:10" x14ac:dyDescent="0.3">
      <c r="A440">
        <v>524</v>
      </c>
      <c r="B440">
        <v>39</v>
      </c>
      <c r="C440" t="s">
        <v>8</v>
      </c>
      <c r="D440">
        <v>44371</v>
      </c>
      <c r="E440">
        <v>1193</v>
      </c>
      <c r="F440">
        <v>527</v>
      </c>
      <c r="G440" t="s">
        <v>9</v>
      </c>
      <c r="H440" t="s">
        <v>10</v>
      </c>
      <c r="I440" t="str">
        <f>IF(Table1[[#This Row],[Income]]&lt;=30000, "Low Income", IF(Table1[[#This Row],[Income]]&lt;=60000,"Medium Income","High Income"))</f>
        <v>Medium Income</v>
      </c>
      <c r="J440" s="1">
        <f>Table1[[#This Row],[LoanAmount]]/Table1[[#This Row],[Income]]</f>
        <v>2.6886930652903925E-2</v>
      </c>
    </row>
    <row r="441" spans="1:10" x14ac:dyDescent="0.3">
      <c r="A441">
        <v>525</v>
      </c>
      <c r="B441">
        <v>28</v>
      </c>
      <c r="C441" t="s">
        <v>8</v>
      </c>
      <c r="D441">
        <v>66501</v>
      </c>
      <c r="E441">
        <v>3007</v>
      </c>
      <c r="F441">
        <v>801</v>
      </c>
      <c r="G441" t="s">
        <v>12</v>
      </c>
      <c r="H441" t="s">
        <v>14</v>
      </c>
      <c r="I441" t="str">
        <f>IF(Table1[[#This Row],[Income]]&lt;=30000, "Low Income", IF(Table1[[#This Row],[Income]]&lt;=60000,"Medium Income","High Income"))</f>
        <v>High Income</v>
      </c>
      <c r="J441" s="1">
        <f>Table1[[#This Row],[LoanAmount]]/Table1[[#This Row],[Income]]</f>
        <v>4.5217365152403724E-2</v>
      </c>
    </row>
    <row r="442" spans="1:10" x14ac:dyDescent="0.3">
      <c r="A442">
        <v>526</v>
      </c>
      <c r="B442">
        <v>21</v>
      </c>
      <c r="C442" t="s">
        <v>11</v>
      </c>
      <c r="D442">
        <v>75946</v>
      </c>
      <c r="E442">
        <v>18569</v>
      </c>
      <c r="F442">
        <v>768</v>
      </c>
      <c r="G442" t="s">
        <v>12</v>
      </c>
      <c r="H442" t="s">
        <v>14</v>
      </c>
      <c r="I442" t="str">
        <f>IF(Table1[[#This Row],[Income]]&lt;=30000, "Low Income", IF(Table1[[#This Row],[Income]]&lt;=60000,"Medium Income","High Income"))</f>
        <v>High Income</v>
      </c>
      <c r="J442" s="1">
        <f>Table1[[#This Row],[LoanAmount]]/Table1[[#This Row],[Income]]</f>
        <v>0.2445026729518342</v>
      </c>
    </row>
    <row r="443" spans="1:10" x14ac:dyDescent="0.3">
      <c r="A443">
        <v>527</v>
      </c>
      <c r="B443">
        <v>42</v>
      </c>
      <c r="C443" t="s">
        <v>11</v>
      </c>
      <c r="D443">
        <v>53467</v>
      </c>
      <c r="E443">
        <v>19778</v>
      </c>
      <c r="F443">
        <v>738</v>
      </c>
      <c r="G443" t="s">
        <v>12</v>
      </c>
      <c r="H443" t="s">
        <v>13</v>
      </c>
      <c r="I443" t="str">
        <f>IF(Table1[[#This Row],[Income]]&lt;=30000, "Low Income", IF(Table1[[#This Row],[Income]]&lt;=60000,"Medium Income","High Income"))</f>
        <v>Medium Income</v>
      </c>
      <c r="J443" s="1">
        <f>Table1[[#This Row],[LoanAmount]]/Table1[[#This Row],[Income]]</f>
        <v>0.3699104120298502</v>
      </c>
    </row>
    <row r="444" spans="1:10" x14ac:dyDescent="0.3">
      <c r="A444">
        <v>528</v>
      </c>
      <c r="B444">
        <v>37</v>
      </c>
      <c r="C444" t="s">
        <v>8</v>
      </c>
      <c r="D444">
        <v>32625</v>
      </c>
      <c r="E444">
        <v>12190</v>
      </c>
      <c r="F444">
        <v>442</v>
      </c>
      <c r="G444" t="s">
        <v>9</v>
      </c>
      <c r="H444" t="s">
        <v>10</v>
      </c>
      <c r="I444" t="str">
        <f>IF(Table1[[#This Row],[Income]]&lt;=30000, "Low Income", IF(Table1[[#This Row],[Income]]&lt;=60000,"Medium Income","High Income"))</f>
        <v>Medium Income</v>
      </c>
      <c r="J444" s="1">
        <f>Table1[[#This Row],[LoanAmount]]/Table1[[#This Row],[Income]]</f>
        <v>0.37363984674329503</v>
      </c>
    </row>
    <row r="445" spans="1:10" x14ac:dyDescent="0.3">
      <c r="A445">
        <v>530</v>
      </c>
      <c r="B445">
        <v>45</v>
      </c>
      <c r="C445" t="s">
        <v>11</v>
      </c>
      <c r="D445">
        <v>25793</v>
      </c>
      <c r="E445">
        <v>10302</v>
      </c>
      <c r="F445">
        <v>818</v>
      </c>
      <c r="G445" t="s">
        <v>12</v>
      </c>
      <c r="H445" t="s">
        <v>14</v>
      </c>
      <c r="I445" t="str">
        <f>IF(Table1[[#This Row],[Income]]&lt;=30000, "Low Income", IF(Table1[[#This Row],[Income]]&lt;=60000,"Medium Income","High Income"))</f>
        <v>Low Income</v>
      </c>
      <c r="J445" s="1">
        <f>Table1[[#This Row],[LoanAmount]]/Table1[[#This Row],[Income]]</f>
        <v>0.39941069282363434</v>
      </c>
    </row>
    <row r="446" spans="1:10" x14ac:dyDescent="0.3">
      <c r="A446">
        <v>531</v>
      </c>
      <c r="B446">
        <v>24</v>
      </c>
      <c r="C446" t="s">
        <v>11</v>
      </c>
      <c r="D446">
        <v>46007</v>
      </c>
      <c r="E446">
        <v>8429</v>
      </c>
      <c r="F446">
        <v>477</v>
      </c>
      <c r="G446" t="s">
        <v>9</v>
      </c>
      <c r="H446" t="s">
        <v>10</v>
      </c>
      <c r="I446" t="str">
        <f>IF(Table1[[#This Row],[Income]]&lt;=30000, "Low Income", IF(Table1[[#This Row],[Income]]&lt;=60000,"Medium Income","High Income"))</f>
        <v>Medium Income</v>
      </c>
      <c r="J446" s="1">
        <f>Table1[[#This Row],[LoanAmount]]/Table1[[#This Row],[Income]]</f>
        <v>0.18321125046188624</v>
      </c>
    </row>
    <row r="447" spans="1:10" x14ac:dyDescent="0.3">
      <c r="A447">
        <v>532</v>
      </c>
      <c r="B447">
        <v>56</v>
      </c>
      <c r="C447" t="s">
        <v>8</v>
      </c>
      <c r="D447">
        <v>40766</v>
      </c>
      <c r="E447">
        <v>3261</v>
      </c>
      <c r="F447">
        <v>713</v>
      </c>
      <c r="G447" t="s">
        <v>12</v>
      </c>
      <c r="H447" t="s">
        <v>13</v>
      </c>
      <c r="I447" t="str">
        <f>IF(Table1[[#This Row],[Income]]&lt;=30000, "Low Income", IF(Table1[[#This Row],[Income]]&lt;=60000,"Medium Income","High Income"))</f>
        <v>Medium Income</v>
      </c>
      <c r="J447" s="1">
        <f>Table1[[#This Row],[LoanAmount]]/Table1[[#This Row],[Income]]</f>
        <v>7.9993131531177944E-2</v>
      </c>
    </row>
    <row r="448" spans="1:10" x14ac:dyDescent="0.3">
      <c r="A448">
        <v>533</v>
      </c>
      <c r="B448">
        <v>26</v>
      </c>
      <c r="C448" t="s">
        <v>8</v>
      </c>
      <c r="D448">
        <v>54532</v>
      </c>
      <c r="E448">
        <v>7716</v>
      </c>
      <c r="F448">
        <v>688</v>
      </c>
      <c r="G448" t="s">
        <v>12</v>
      </c>
      <c r="H448" t="s">
        <v>13</v>
      </c>
      <c r="I448" t="str">
        <f>IF(Table1[[#This Row],[Income]]&lt;=30000, "Low Income", IF(Table1[[#This Row],[Income]]&lt;=60000,"Medium Income","High Income"))</f>
        <v>Medium Income</v>
      </c>
      <c r="J448" s="1">
        <f>Table1[[#This Row],[LoanAmount]]/Table1[[#This Row],[Income]]</f>
        <v>0.14149490207584536</v>
      </c>
    </row>
    <row r="449" spans="1:10" x14ac:dyDescent="0.3">
      <c r="A449">
        <v>535</v>
      </c>
      <c r="B449">
        <v>39</v>
      </c>
      <c r="C449" t="s">
        <v>8</v>
      </c>
      <c r="D449">
        <v>27323</v>
      </c>
      <c r="E449">
        <v>5378</v>
      </c>
      <c r="F449">
        <v>561</v>
      </c>
      <c r="G449" t="s">
        <v>9</v>
      </c>
      <c r="H449" t="s">
        <v>10</v>
      </c>
      <c r="I449" t="str">
        <f>IF(Table1[[#This Row],[Income]]&lt;=30000, "Low Income", IF(Table1[[#This Row],[Income]]&lt;=60000,"Medium Income","High Income"))</f>
        <v>Low Income</v>
      </c>
      <c r="J449" s="1">
        <f>Table1[[#This Row],[LoanAmount]]/Table1[[#This Row],[Income]]</f>
        <v>0.19683050909490174</v>
      </c>
    </row>
    <row r="450" spans="1:10" x14ac:dyDescent="0.3">
      <c r="A450">
        <v>536</v>
      </c>
      <c r="B450">
        <v>59</v>
      </c>
      <c r="C450" t="s">
        <v>11</v>
      </c>
      <c r="D450">
        <v>60799</v>
      </c>
      <c r="E450">
        <v>8815</v>
      </c>
      <c r="F450">
        <v>588</v>
      </c>
      <c r="G450" t="s">
        <v>9</v>
      </c>
      <c r="H450" t="s">
        <v>10</v>
      </c>
      <c r="I450" t="str">
        <f>IF(Table1[[#This Row],[Income]]&lt;=30000, "Low Income", IF(Table1[[#This Row],[Income]]&lt;=60000,"Medium Income","High Income"))</f>
        <v>High Income</v>
      </c>
      <c r="J450" s="1">
        <f>Table1[[#This Row],[LoanAmount]]/Table1[[#This Row],[Income]]</f>
        <v>0.14498593726870507</v>
      </c>
    </row>
    <row r="451" spans="1:10" x14ac:dyDescent="0.3">
      <c r="A451">
        <v>538</v>
      </c>
      <c r="B451">
        <v>30</v>
      </c>
      <c r="C451" t="s">
        <v>11</v>
      </c>
      <c r="D451">
        <v>60408</v>
      </c>
      <c r="E451">
        <v>13728</v>
      </c>
      <c r="F451">
        <v>787</v>
      </c>
      <c r="G451" t="s">
        <v>12</v>
      </c>
      <c r="H451" t="s">
        <v>14</v>
      </c>
      <c r="I451" t="str">
        <f>IF(Table1[[#This Row],[Income]]&lt;=30000, "Low Income", IF(Table1[[#This Row],[Income]]&lt;=60000,"Medium Income","High Income"))</f>
        <v>High Income</v>
      </c>
      <c r="J451" s="1">
        <f>Table1[[#This Row],[LoanAmount]]/Table1[[#This Row],[Income]]</f>
        <v>0.22725466825586016</v>
      </c>
    </row>
    <row r="452" spans="1:10" x14ac:dyDescent="0.3">
      <c r="A452">
        <v>539</v>
      </c>
      <c r="B452">
        <v>46</v>
      </c>
      <c r="C452" t="s">
        <v>11</v>
      </c>
      <c r="D452">
        <v>22843</v>
      </c>
      <c r="E452">
        <v>11332</v>
      </c>
      <c r="F452">
        <v>615</v>
      </c>
      <c r="G452" t="s">
        <v>9</v>
      </c>
      <c r="H452" t="s">
        <v>10</v>
      </c>
      <c r="I452" t="str">
        <f>IF(Table1[[#This Row],[Income]]&lt;=30000, "Low Income", IF(Table1[[#This Row],[Income]]&lt;=60000,"Medium Income","High Income"))</f>
        <v>Low Income</v>
      </c>
      <c r="J452" s="1">
        <f>Table1[[#This Row],[LoanAmount]]/Table1[[#This Row],[Income]]</f>
        <v>0.49608195070699995</v>
      </c>
    </row>
    <row r="453" spans="1:10" x14ac:dyDescent="0.3">
      <c r="A453">
        <v>540</v>
      </c>
      <c r="B453">
        <v>39</v>
      </c>
      <c r="C453" t="s">
        <v>8</v>
      </c>
      <c r="D453">
        <v>29210</v>
      </c>
      <c r="E453">
        <v>10836</v>
      </c>
      <c r="F453">
        <v>714</v>
      </c>
      <c r="G453" t="s">
        <v>12</v>
      </c>
      <c r="H453" t="s">
        <v>13</v>
      </c>
      <c r="I453" t="str">
        <f>IF(Table1[[#This Row],[Income]]&lt;=30000, "Low Income", IF(Table1[[#This Row],[Income]]&lt;=60000,"Medium Income","High Income"))</f>
        <v>Low Income</v>
      </c>
      <c r="J453" s="1">
        <f>Table1[[#This Row],[LoanAmount]]/Table1[[#This Row],[Income]]</f>
        <v>0.37096884628551868</v>
      </c>
    </row>
    <row r="454" spans="1:10" x14ac:dyDescent="0.3">
      <c r="A454">
        <v>542</v>
      </c>
      <c r="B454">
        <v>23</v>
      </c>
      <c r="C454" t="s">
        <v>8</v>
      </c>
      <c r="D454">
        <v>46367</v>
      </c>
      <c r="E454">
        <v>9333</v>
      </c>
      <c r="F454">
        <v>738</v>
      </c>
      <c r="G454" t="s">
        <v>12</v>
      </c>
      <c r="H454" t="s">
        <v>13</v>
      </c>
      <c r="I454" t="str">
        <f>IF(Table1[[#This Row],[Income]]&lt;=30000, "Low Income", IF(Table1[[#This Row],[Income]]&lt;=60000,"Medium Income","High Income"))</f>
        <v>Medium Income</v>
      </c>
      <c r="J454" s="1">
        <f>Table1[[#This Row],[LoanAmount]]/Table1[[#This Row],[Income]]</f>
        <v>0.20128539694179048</v>
      </c>
    </row>
    <row r="455" spans="1:10" x14ac:dyDescent="0.3">
      <c r="A455">
        <v>543</v>
      </c>
      <c r="B455">
        <v>33</v>
      </c>
      <c r="C455" t="s">
        <v>8</v>
      </c>
      <c r="D455">
        <v>69624</v>
      </c>
      <c r="E455">
        <v>6410</v>
      </c>
      <c r="F455">
        <v>789</v>
      </c>
      <c r="G455" t="s">
        <v>12</v>
      </c>
      <c r="H455" t="s">
        <v>14</v>
      </c>
      <c r="I455" t="str">
        <f>IF(Table1[[#This Row],[Income]]&lt;=30000, "Low Income", IF(Table1[[#This Row],[Income]]&lt;=60000,"Medium Income","High Income"))</f>
        <v>High Income</v>
      </c>
      <c r="J455" s="1">
        <f>Table1[[#This Row],[LoanAmount]]/Table1[[#This Row],[Income]]</f>
        <v>9.2065954268643002E-2</v>
      </c>
    </row>
    <row r="456" spans="1:10" x14ac:dyDescent="0.3">
      <c r="A456">
        <v>544</v>
      </c>
      <c r="B456">
        <v>48</v>
      </c>
      <c r="C456" t="s">
        <v>11</v>
      </c>
      <c r="D456">
        <v>25106</v>
      </c>
      <c r="E456">
        <v>18839</v>
      </c>
      <c r="F456">
        <v>776</v>
      </c>
      <c r="G456" t="s">
        <v>9</v>
      </c>
      <c r="H456" t="s">
        <v>14</v>
      </c>
      <c r="I456" t="str">
        <f>IF(Table1[[#This Row],[Income]]&lt;=30000, "Low Income", IF(Table1[[#This Row],[Income]]&lt;=60000,"Medium Income","High Income"))</f>
        <v>Low Income</v>
      </c>
      <c r="J456" s="1">
        <f>Table1[[#This Row],[LoanAmount]]/Table1[[#This Row],[Income]]</f>
        <v>0.75037839560264474</v>
      </c>
    </row>
    <row r="457" spans="1:10" x14ac:dyDescent="0.3">
      <c r="A457">
        <v>545</v>
      </c>
      <c r="B457">
        <v>40</v>
      </c>
      <c r="C457" t="s">
        <v>11</v>
      </c>
      <c r="D457">
        <v>52957</v>
      </c>
      <c r="E457">
        <v>6808</v>
      </c>
      <c r="F457">
        <v>832</v>
      </c>
      <c r="G457" t="s">
        <v>12</v>
      </c>
      <c r="H457" t="s">
        <v>14</v>
      </c>
      <c r="I457" t="str">
        <f>IF(Table1[[#This Row],[Income]]&lt;=30000, "Low Income", IF(Table1[[#This Row],[Income]]&lt;=60000,"Medium Income","High Income"))</f>
        <v>Medium Income</v>
      </c>
      <c r="J457" s="1">
        <f>Table1[[#This Row],[LoanAmount]]/Table1[[#This Row],[Income]]</f>
        <v>0.12855713125743529</v>
      </c>
    </row>
    <row r="458" spans="1:10" x14ac:dyDescent="0.3">
      <c r="A458">
        <v>546</v>
      </c>
      <c r="B458">
        <v>48</v>
      </c>
      <c r="C458" t="s">
        <v>8</v>
      </c>
      <c r="D458">
        <v>17472</v>
      </c>
      <c r="E458">
        <v>7796</v>
      </c>
      <c r="F458">
        <v>567</v>
      </c>
      <c r="G458" t="s">
        <v>9</v>
      </c>
      <c r="H458" t="s">
        <v>10</v>
      </c>
      <c r="I458" t="str">
        <f>IF(Table1[[#This Row],[Income]]&lt;=30000, "Low Income", IF(Table1[[#This Row],[Income]]&lt;=60000,"Medium Income","High Income"))</f>
        <v>Low Income</v>
      </c>
      <c r="J458" s="1">
        <f>Table1[[#This Row],[LoanAmount]]/Table1[[#This Row],[Income]]</f>
        <v>0.44619963369963372</v>
      </c>
    </row>
    <row r="459" spans="1:10" x14ac:dyDescent="0.3">
      <c r="A459">
        <v>548</v>
      </c>
      <c r="B459">
        <v>59</v>
      </c>
      <c r="C459" t="s">
        <v>11</v>
      </c>
      <c r="D459">
        <v>64859</v>
      </c>
      <c r="E459">
        <v>18709</v>
      </c>
      <c r="F459">
        <v>592</v>
      </c>
      <c r="G459" t="s">
        <v>9</v>
      </c>
      <c r="H459" t="s">
        <v>10</v>
      </c>
      <c r="I459" t="str">
        <f>IF(Table1[[#This Row],[Income]]&lt;=30000, "Low Income", IF(Table1[[#This Row],[Income]]&lt;=60000,"Medium Income","High Income"))</f>
        <v>High Income</v>
      </c>
      <c r="J459" s="1">
        <f>Table1[[#This Row],[LoanAmount]]/Table1[[#This Row],[Income]]</f>
        <v>0.28845649794168887</v>
      </c>
    </row>
    <row r="460" spans="1:10" x14ac:dyDescent="0.3">
      <c r="A460">
        <v>549</v>
      </c>
      <c r="B460">
        <v>21</v>
      </c>
      <c r="C460" t="s">
        <v>11</v>
      </c>
      <c r="D460">
        <v>65956</v>
      </c>
      <c r="E460">
        <v>18543</v>
      </c>
      <c r="F460">
        <v>682</v>
      </c>
      <c r="G460" t="s">
        <v>12</v>
      </c>
      <c r="H460" t="s">
        <v>13</v>
      </c>
      <c r="I460" t="str">
        <f>IF(Table1[[#This Row],[Income]]&lt;=30000, "Low Income", IF(Table1[[#This Row],[Income]]&lt;=60000,"Medium Income","High Income"))</f>
        <v>High Income</v>
      </c>
      <c r="J460" s="1">
        <f>Table1[[#This Row],[LoanAmount]]/Table1[[#This Row],[Income]]</f>
        <v>0.28114197343683667</v>
      </c>
    </row>
    <row r="461" spans="1:10" x14ac:dyDescent="0.3">
      <c r="A461">
        <v>550</v>
      </c>
      <c r="B461">
        <v>23</v>
      </c>
      <c r="C461" t="s">
        <v>11</v>
      </c>
      <c r="D461">
        <v>21704</v>
      </c>
      <c r="E461">
        <v>5650</v>
      </c>
      <c r="F461">
        <v>735</v>
      </c>
      <c r="G461" t="s">
        <v>9</v>
      </c>
      <c r="H461" t="s">
        <v>13</v>
      </c>
      <c r="I461" t="str">
        <f>IF(Table1[[#This Row],[Income]]&lt;=30000, "Low Income", IF(Table1[[#This Row],[Income]]&lt;=60000,"Medium Income","High Income"))</f>
        <v>Low Income</v>
      </c>
      <c r="J461" s="1">
        <f>Table1[[#This Row],[LoanAmount]]/Table1[[#This Row],[Income]]</f>
        <v>0.26032067821599703</v>
      </c>
    </row>
    <row r="462" spans="1:10" x14ac:dyDescent="0.3">
      <c r="A462">
        <v>551</v>
      </c>
      <c r="B462">
        <v>33</v>
      </c>
      <c r="C462" t="s">
        <v>11</v>
      </c>
      <c r="D462">
        <v>79315</v>
      </c>
      <c r="E462">
        <v>5987</v>
      </c>
      <c r="F462">
        <v>789</v>
      </c>
      <c r="G462" t="s">
        <v>12</v>
      </c>
      <c r="H462" t="s">
        <v>14</v>
      </c>
      <c r="I462" t="str">
        <f>IF(Table1[[#This Row],[Income]]&lt;=30000, "Low Income", IF(Table1[[#This Row],[Income]]&lt;=60000,"Medium Income","High Income"))</f>
        <v>High Income</v>
      </c>
      <c r="J462" s="1">
        <f>Table1[[#This Row],[LoanAmount]]/Table1[[#This Row],[Income]]</f>
        <v>7.5483830296917354E-2</v>
      </c>
    </row>
    <row r="463" spans="1:10" x14ac:dyDescent="0.3">
      <c r="A463">
        <v>552</v>
      </c>
      <c r="B463">
        <v>48</v>
      </c>
      <c r="C463" t="s">
        <v>8</v>
      </c>
      <c r="D463">
        <v>18713</v>
      </c>
      <c r="E463">
        <v>16200</v>
      </c>
      <c r="F463">
        <v>412</v>
      </c>
      <c r="G463" t="s">
        <v>9</v>
      </c>
      <c r="H463" t="s">
        <v>10</v>
      </c>
      <c r="I463" t="str">
        <f>IF(Table1[[#This Row],[Income]]&lt;=30000, "Low Income", IF(Table1[[#This Row],[Income]]&lt;=60000,"Medium Income","High Income"))</f>
        <v>Low Income</v>
      </c>
      <c r="J463" s="1">
        <f>Table1[[#This Row],[LoanAmount]]/Table1[[#This Row],[Income]]</f>
        <v>0.8657083311067173</v>
      </c>
    </row>
    <row r="464" spans="1:10" x14ac:dyDescent="0.3">
      <c r="A464">
        <v>554</v>
      </c>
      <c r="B464">
        <v>53</v>
      </c>
      <c r="C464" t="s">
        <v>11</v>
      </c>
      <c r="D464">
        <v>25756</v>
      </c>
      <c r="E464">
        <v>17724</v>
      </c>
      <c r="F464">
        <v>719</v>
      </c>
      <c r="G464" t="s">
        <v>9</v>
      </c>
      <c r="H464" t="s">
        <v>13</v>
      </c>
      <c r="I464" t="str">
        <f>IF(Table1[[#This Row],[Income]]&lt;=30000, "Low Income", IF(Table1[[#This Row],[Income]]&lt;=60000,"Medium Income","High Income"))</f>
        <v>Low Income</v>
      </c>
      <c r="J464" s="1">
        <f>Table1[[#This Row],[LoanAmount]]/Table1[[#This Row],[Income]]</f>
        <v>0.68815033390277991</v>
      </c>
    </row>
    <row r="465" spans="1:10" x14ac:dyDescent="0.3">
      <c r="A465">
        <v>555</v>
      </c>
      <c r="B465">
        <v>58</v>
      </c>
      <c r="C465" t="s">
        <v>11</v>
      </c>
      <c r="D465">
        <v>17475</v>
      </c>
      <c r="E465">
        <v>4828</v>
      </c>
      <c r="F465">
        <v>845</v>
      </c>
      <c r="G465" t="s">
        <v>9</v>
      </c>
      <c r="H465" t="s">
        <v>14</v>
      </c>
      <c r="I465" t="str">
        <f>IF(Table1[[#This Row],[Income]]&lt;=30000, "Low Income", IF(Table1[[#This Row],[Income]]&lt;=60000,"Medium Income","High Income"))</f>
        <v>Low Income</v>
      </c>
      <c r="J465" s="1">
        <f>Table1[[#This Row],[LoanAmount]]/Table1[[#This Row],[Income]]</f>
        <v>0.27628040057224607</v>
      </c>
    </row>
    <row r="466" spans="1:10" x14ac:dyDescent="0.3">
      <c r="A466">
        <v>556</v>
      </c>
      <c r="B466">
        <v>26</v>
      </c>
      <c r="C466" t="s">
        <v>11</v>
      </c>
      <c r="D466">
        <v>51378</v>
      </c>
      <c r="E466">
        <v>19352</v>
      </c>
      <c r="F466">
        <v>546</v>
      </c>
      <c r="G466" t="s">
        <v>9</v>
      </c>
      <c r="H466" t="s">
        <v>10</v>
      </c>
      <c r="I466" t="str">
        <f>IF(Table1[[#This Row],[Income]]&lt;=30000, "Low Income", IF(Table1[[#This Row],[Income]]&lt;=60000,"Medium Income","High Income"))</f>
        <v>Medium Income</v>
      </c>
      <c r="J466" s="1">
        <f>Table1[[#This Row],[LoanAmount]]/Table1[[#This Row],[Income]]</f>
        <v>0.37665927050488535</v>
      </c>
    </row>
    <row r="467" spans="1:10" x14ac:dyDescent="0.3">
      <c r="A467">
        <v>558</v>
      </c>
      <c r="B467">
        <v>41</v>
      </c>
      <c r="C467" t="s">
        <v>11</v>
      </c>
      <c r="D467">
        <v>48500</v>
      </c>
      <c r="E467">
        <v>13605</v>
      </c>
      <c r="F467">
        <v>479</v>
      </c>
      <c r="G467" t="s">
        <v>9</v>
      </c>
      <c r="H467" t="s">
        <v>10</v>
      </c>
      <c r="I467" t="str">
        <f>IF(Table1[[#This Row],[Income]]&lt;=30000, "Low Income", IF(Table1[[#This Row],[Income]]&lt;=60000,"Medium Income","High Income"))</f>
        <v>Medium Income</v>
      </c>
      <c r="J467" s="1">
        <f>Table1[[#This Row],[LoanAmount]]/Table1[[#This Row],[Income]]</f>
        <v>0.2805154639175258</v>
      </c>
    </row>
    <row r="468" spans="1:10" x14ac:dyDescent="0.3">
      <c r="A468">
        <v>559</v>
      </c>
      <c r="B468">
        <v>36</v>
      </c>
      <c r="C468" t="s">
        <v>8</v>
      </c>
      <c r="D468">
        <v>75167</v>
      </c>
      <c r="E468">
        <v>6482</v>
      </c>
      <c r="F468">
        <v>778</v>
      </c>
      <c r="G468" t="s">
        <v>12</v>
      </c>
      <c r="H468" t="s">
        <v>14</v>
      </c>
      <c r="I468" t="str">
        <f>IF(Table1[[#This Row],[Income]]&lt;=30000, "Low Income", IF(Table1[[#This Row],[Income]]&lt;=60000,"Medium Income","High Income"))</f>
        <v>High Income</v>
      </c>
      <c r="J468" s="1">
        <f>Table1[[#This Row],[LoanAmount]]/Table1[[#This Row],[Income]]</f>
        <v>8.6234650844120422E-2</v>
      </c>
    </row>
    <row r="469" spans="1:10" x14ac:dyDescent="0.3">
      <c r="A469">
        <v>561</v>
      </c>
      <c r="B469">
        <v>31</v>
      </c>
      <c r="C469" t="s">
        <v>8</v>
      </c>
      <c r="D469">
        <v>49503</v>
      </c>
      <c r="E469">
        <v>6463</v>
      </c>
      <c r="F469">
        <v>488</v>
      </c>
      <c r="G469" t="s">
        <v>9</v>
      </c>
      <c r="H469" t="s">
        <v>10</v>
      </c>
      <c r="I469" t="str">
        <f>IF(Table1[[#This Row],[Income]]&lt;=30000, "Low Income", IF(Table1[[#This Row],[Income]]&lt;=60000,"Medium Income","High Income"))</f>
        <v>Medium Income</v>
      </c>
      <c r="J469" s="1">
        <f>Table1[[#This Row],[LoanAmount]]/Table1[[#This Row],[Income]]</f>
        <v>0.13055774397511261</v>
      </c>
    </row>
    <row r="470" spans="1:10" x14ac:dyDescent="0.3">
      <c r="A470">
        <v>562</v>
      </c>
      <c r="B470">
        <v>57</v>
      </c>
      <c r="C470" t="s">
        <v>11</v>
      </c>
      <c r="D470">
        <v>73929</v>
      </c>
      <c r="E470">
        <v>14860</v>
      </c>
      <c r="F470">
        <v>547</v>
      </c>
      <c r="G470" t="s">
        <v>9</v>
      </c>
      <c r="H470" t="s">
        <v>10</v>
      </c>
      <c r="I470" t="str">
        <f>IF(Table1[[#This Row],[Income]]&lt;=30000, "Low Income", IF(Table1[[#This Row],[Income]]&lt;=60000,"Medium Income","High Income"))</f>
        <v>High Income</v>
      </c>
      <c r="J470" s="1">
        <f>Table1[[#This Row],[LoanAmount]]/Table1[[#This Row],[Income]]</f>
        <v>0.20100366567923278</v>
      </c>
    </row>
    <row r="471" spans="1:10" x14ac:dyDescent="0.3">
      <c r="A471">
        <v>563</v>
      </c>
      <c r="B471">
        <v>56</v>
      </c>
      <c r="C471" t="s">
        <v>8</v>
      </c>
      <c r="D471">
        <v>23258</v>
      </c>
      <c r="E471">
        <v>5912</v>
      </c>
      <c r="F471">
        <v>494</v>
      </c>
      <c r="G471" t="s">
        <v>9</v>
      </c>
      <c r="H471" t="s">
        <v>10</v>
      </c>
      <c r="I471" t="str">
        <f>IF(Table1[[#This Row],[Income]]&lt;=30000, "Low Income", IF(Table1[[#This Row],[Income]]&lt;=60000,"Medium Income","High Income"))</f>
        <v>Low Income</v>
      </c>
      <c r="J471" s="1">
        <f>Table1[[#This Row],[LoanAmount]]/Table1[[#This Row],[Income]]</f>
        <v>0.25419210594204145</v>
      </c>
    </row>
    <row r="472" spans="1:10" x14ac:dyDescent="0.3">
      <c r="A472">
        <v>564</v>
      </c>
      <c r="B472">
        <v>55</v>
      </c>
      <c r="C472" t="s">
        <v>11</v>
      </c>
      <c r="D472">
        <v>48500</v>
      </c>
      <c r="E472">
        <v>5648</v>
      </c>
      <c r="F472">
        <v>827</v>
      </c>
      <c r="G472" t="s">
        <v>12</v>
      </c>
      <c r="H472" t="s">
        <v>14</v>
      </c>
      <c r="I472" t="str">
        <f>IF(Table1[[#This Row],[Income]]&lt;=30000, "Low Income", IF(Table1[[#This Row],[Income]]&lt;=60000,"Medium Income","High Income"))</f>
        <v>Medium Income</v>
      </c>
      <c r="J472" s="1">
        <f>Table1[[#This Row],[LoanAmount]]/Table1[[#This Row],[Income]]</f>
        <v>0.11645360824742268</v>
      </c>
    </row>
    <row r="473" spans="1:10" x14ac:dyDescent="0.3">
      <c r="A473">
        <v>565</v>
      </c>
      <c r="B473">
        <v>39</v>
      </c>
      <c r="C473" t="s">
        <v>8</v>
      </c>
      <c r="D473">
        <v>48500</v>
      </c>
      <c r="E473">
        <v>1855</v>
      </c>
      <c r="F473">
        <v>550</v>
      </c>
      <c r="G473" t="s">
        <v>9</v>
      </c>
      <c r="H473" t="s">
        <v>10</v>
      </c>
      <c r="I473" t="str">
        <f>IF(Table1[[#This Row],[Income]]&lt;=30000, "Low Income", IF(Table1[[#This Row],[Income]]&lt;=60000,"Medium Income","High Income"))</f>
        <v>Medium Income</v>
      </c>
      <c r="J473" s="1">
        <f>Table1[[#This Row],[LoanAmount]]/Table1[[#This Row],[Income]]</f>
        <v>3.8247422680412368E-2</v>
      </c>
    </row>
    <row r="474" spans="1:10" x14ac:dyDescent="0.3">
      <c r="A474">
        <v>566</v>
      </c>
      <c r="B474">
        <v>40</v>
      </c>
      <c r="C474" t="s">
        <v>11</v>
      </c>
      <c r="D474">
        <v>50196</v>
      </c>
      <c r="E474">
        <v>3866</v>
      </c>
      <c r="F474">
        <v>401</v>
      </c>
      <c r="G474" t="s">
        <v>9</v>
      </c>
      <c r="H474" t="s">
        <v>10</v>
      </c>
      <c r="I474" t="str">
        <f>IF(Table1[[#This Row],[Income]]&lt;=30000, "Low Income", IF(Table1[[#This Row],[Income]]&lt;=60000,"Medium Income","High Income"))</f>
        <v>Medium Income</v>
      </c>
      <c r="J474" s="1">
        <f>Table1[[#This Row],[LoanAmount]]/Table1[[#This Row],[Income]]</f>
        <v>7.70180890907642E-2</v>
      </c>
    </row>
    <row r="475" spans="1:10" x14ac:dyDescent="0.3">
      <c r="A475">
        <v>567</v>
      </c>
      <c r="B475">
        <v>38</v>
      </c>
      <c r="C475" t="s">
        <v>8</v>
      </c>
      <c r="D475">
        <v>60113</v>
      </c>
      <c r="E475">
        <v>12834</v>
      </c>
      <c r="F475">
        <v>775</v>
      </c>
      <c r="G475" t="s">
        <v>12</v>
      </c>
      <c r="H475" t="s">
        <v>14</v>
      </c>
      <c r="I475" t="str">
        <f>IF(Table1[[#This Row],[Income]]&lt;=30000, "Low Income", IF(Table1[[#This Row],[Income]]&lt;=60000,"Medium Income","High Income"))</f>
        <v>High Income</v>
      </c>
      <c r="J475" s="1">
        <f>Table1[[#This Row],[LoanAmount]]/Table1[[#This Row],[Income]]</f>
        <v>0.21349791226523382</v>
      </c>
    </row>
    <row r="476" spans="1:10" x14ac:dyDescent="0.3">
      <c r="A476">
        <v>568</v>
      </c>
      <c r="B476">
        <v>34</v>
      </c>
      <c r="C476" t="s">
        <v>11</v>
      </c>
      <c r="D476">
        <v>55194</v>
      </c>
      <c r="E476">
        <v>17294</v>
      </c>
      <c r="F476">
        <v>421</v>
      </c>
      <c r="G476" t="s">
        <v>9</v>
      </c>
      <c r="H476" t="s">
        <v>10</v>
      </c>
      <c r="I476" t="str">
        <f>IF(Table1[[#This Row],[Income]]&lt;=30000, "Low Income", IF(Table1[[#This Row],[Income]]&lt;=60000,"Medium Income","High Income"))</f>
        <v>Medium Income</v>
      </c>
      <c r="J476" s="1">
        <f>Table1[[#This Row],[LoanAmount]]/Table1[[#This Row],[Income]]</f>
        <v>0.31333115918396925</v>
      </c>
    </row>
    <row r="477" spans="1:10" x14ac:dyDescent="0.3">
      <c r="A477">
        <v>569</v>
      </c>
      <c r="B477">
        <v>35</v>
      </c>
      <c r="C477" t="s">
        <v>8</v>
      </c>
      <c r="D477">
        <v>23533</v>
      </c>
      <c r="E477">
        <v>17566</v>
      </c>
      <c r="F477">
        <v>770</v>
      </c>
      <c r="G477" t="s">
        <v>9</v>
      </c>
      <c r="H477" t="s">
        <v>14</v>
      </c>
      <c r="I477" t="str">
        <f>IF(Table1[[#This Row],[Income]]&lt;=30000, "Low Income", IF(Table1[[#This Row],[Income]]&lt;=60000,"Medium Income","High Income"))</f>
        <v>Low Income</v>
      </c>
      <c r="J477" s="1">
        <f>Table1[[#This Row],[LoanAmount]]/Table1[[#This Row],[Income]]</f>
        <v>0.74644116772192237</v>
      </c>
    </row>
    <row r="478" spans="1:10" x14ac:dyDescent="0.3">
      <c r="A478">
        <v>570</v>
      </c>
      <c r="B478">
        <v>51</v>
      </c>
      <c r="C478" t="s">
        <v>11</v>
      </c>
      <c r="D478">
        <v>47581</v>
      </c>
      <c r="E478">
        <v>4112</v>
      </c>
      <c r="F478">
        <v>712</v>
      </c>
      <c r="G478" t="s">
        <v>12</v>
      </c>
      <c r="H478" t="s">
        <v>13</v>
      </c>
      <c r="I478" t="str">
        <f>IF(Table1[[#This Row],[Income]]&lt;=30000, "Low Income", IF(Table1[[#This Row],[Income]]&lt;=60000,"Medium Income","High Income"))</f>
        <v>Medium Income</v>
      </c>
      <c r="J478" s="1">
        <f>Table1[[#This Row],[LoanAmount]]/Table1[[#This Row],[Income]]</f>
        <v>8.6421050419285009E-2</v>
      </c>
    </row>
    <row r="479" spans="1:10" x14ac:dyDescent="0.3">
      <c r="A479">
        <v>571</v>
      </c>
      <c r="B479">
        <v>21</v>
      </c>
      <c r="C479" t="s">
        <v>11</v>
      </c>
      <c r="D479">
        <v>20249</v>
      </c>
      <c r="E479">
        <v>5492</v>
      </c>
      <c r="F479">
        <v>727</v>
      </c>
      <c r="G479" t="s">
        <v>9</v>
      </c>
      <c r="H479" t="s">
        <v>13</v>
      </c>
      <c r="I479" t="str">
        <f>IF(Table1[[#This Row],[Income]]&lt;=30000, "Low Income", IF(Table1[[#This Row],[Income]]&lt;=60000,"Medium Income","High Income"))</f>
        <v>Low Income</v>
      </c>
      <c r="J479" s="1">
        <f>Table1[[#This Row],[LoanAmount]]/Table1[[#This Row],[Income]]</f>
        <v>0.27122327028495236</v>
      </c>
    </row>
    <row r="480" spans="1:10" x14ac:dyDescent="0.3">
      <c r="A480">
        <v>572</v>
      </c>
      <c r="B480">
        <v>23</v>
      </c>
      <c r="C480" t="s">
        <v>11</v>
      </c>
      <c r="D480">
        <v>75118</v>
      </c>
      <c r="E480">
        <v>16114</v>
      </c>
      <c r="F480">
        <v>406</v>
      </c>
      <c r="G480" t="s">
        <v>9</v>
      </c>
      <c r="H480" t="s">
        <v>10</v>
      </c>
      <c r="I480" t="str">
        <f>IF(Table1[[#This Row],[Income]]&lt;=30000, "Low Income", IF(Table1[[#This Row],[Income]]&lt;=60000,"Medium Income","High Income"))</f>
        <v>High Income</v>
      </c>
      <c r="J480" s="1">
        <f>Table1[[#This Row],[LoanAmount]]/Table1[[#This Row],[Income]]</f>
        <v>0.21451582842993691</v>
      </c>
    </row>
    <row r="481" spans="1:10" x14ac:dyDescent="0.3">
      <c r="A481">
        <v>573</v>
      </c>
      <c r="B481">
        <v>36</v>
      </c>
      <c r="C481" t="s">
        <v>11</v>
      </c>
      <c r="D481">
        <v>69443</v>
      </c>
      <c r="E481">
        <v>2517</v>
      </c>
      <c r="F481">
        <v>605</v>
      </c>
      <c r="G481" t="s">
        <v>9</v>
      </c>
      <c r="H481" t="s">
        <v>10</v>
      </c>
      <c r="I481" t="str">
        <f>IF(Table1[[#This Row],[Income]]&lt;=30000, "Low Income", IF(Table1[[#This Row],[Income]]&lt;=60000,"Medium Income","High Income"))</f>
        <v>High Income</v>
      </c>
      <c r="J481" s="1">
        <f>Table1[[#This Row],[LoanAmount]]/Table1[[#This Row],[Income]]</f>
        <v>3.6245553907521273E-2</v>
      </c>
    </row>
    <row r="482" spans="1:10" x14ac:dyDescent="0.3">
      <c r="A482">
        <v>574</v>
      </c>
      <c r="B482">
        <v>43</v>
      </c>
      <c r="C482" t="s">
        <v>8</v>
      </c>
      <c r="D482">
        <v>34201</v>
      </c>
      <c r="E482">
        <v>17018</v>
      </c>
      <c r="F482">
        <v>839</v>
      </c>
      <c r="G482" t="s">
        <v>9</v>
      </c>
      <c r="H482" t="s">
        <v>14</v>
      </c>
      <c r="I482" t="str">
        <f>IF(Table1[[#This Row],[Income]]&lt;=30000, "Low Income", IF(Table1[[#This Row],[Income]]&lt;=60000,"Medium Income","High Income"))</f>
        <v>Medium Income</v>
      </c>
      <c r="J482" s="1">
        <f>Table1[[#This Row],[LoanAmount]]/Table1[[#This Row],[Income]]</f>
        <v>0.49758778983070673</v>
      </c>
    </row>
    <row r="483" spans="1:10" x14ac:dyDescent="0.3">
      <c r="A483">
        <v>577</v>
      </c>
      <c r="B483">
        <v>30</v>
      </c>
      <c r="C483" t="s">
        <v>8</v>
      </c>
      <c r="D483">
        <v>68026</v>
      </c>
      <c r="E483">
        <v>9210</v>
      </c>
      <c r="F483">
        <v>671</v>
      </c>
      <c r="G483" t="s">
        <v>9</v>
      </c>
      <c r="H483" t="s">
        <v>13</v>
      </c>
      <c r="I483" t="str">
        <f>IF(Table1[[#This Row],[Income]]&lt;=30000, "Low Income", IF(Table1[[#This Row],[Income]]&lt;=60000,"Medium Income","High Income"))</f>
        <v>High Income</v>
      </c>
      <c r="J483" s="1">
        <f>Table1[[#This Row],[LoanAmount]]/Table1[[#This Row],[Income]]</f>
        <v>0.13538940993149678</v>
      </c>
    </row>
    <row r="484" spans="1:10" x14ac:dyDescent="0.3">
      <c r="A484">
        <v>578</v>
      </c>
      <c r="B484">
        <v>52</v>
      </c>
      <c r="C484" t="s">
        <v>11</v>
      </c>
      <c r="D484">
        <v>74745</v>
      </c>
      <c r="E484">
        <v>12595</v>
      </c>
      <c r="F484">
        <v>482</v>
      </c>
      <c r="G484" t="s">
        <v>9</v>
      </c>
      <c r="H484" t="s">
        <v>10</v>
      </c>
      <c r="I484" t="str">
        <f>IF(Table1[[#This Row],[Income]]&lt;=30000, "Low Income", IF(Table1[[#This Row],[Income]]&lt;=60000,"Medium Income","High Income"))</f>
        <v>High Income</v>
      </c>
      <c r="J484" s="1">
        <f>Table1[[#This Row],[LoanAmount]]/Table1[[#This Row],[Income]]</f>
        <v>0.16850625459896984</v>
      </c>
    </row>
    <row r="485" spans="1:10" x14ac:dyDescent="0.3">
      <c r="A485">
        <v>579</v>
      </c>
      <c r="B485">
        <v>36</v>
      </c>
      <c r="C485" t="s">
        <v>11</v>
      </c>
      <c r="D485">
        <v>24686</v>
      </c>
      <c r="E485">
        <v>13871</v>
      </c>
      <c r="F485">
        <v>578</v>
      </c>
      <c r="G485" t="s">
        <v>9</v>
      </c>
      <c r="H485" t="s">
        <v>10</v>
      </c>
      <c r="I485" t="str">
        <f>IF(Table1[[#This Row],[Income]]&lt;=30000, "Low Income", IF(Table1[[#This Row],[Income]]&lt;=60000,"Medium Income","High Income"))</f>
        <v>Low Income</v>
      </c>
      <c r="J485" s="1">
        <f>Table1[[#This Row],[LoanAmount]]/Table1[[#This Row],[Income]]</f>
        <v>0.56189743174268814</v>
      </c>
    </row>
    <row r="486" spans="1:10" x14ac:dyDescent="0.3">
      <c r="A486">
        <v>580</v>
      </c>
      <c r="B486">
        <v>28</v>
      </c>
      <c r="C486" t="s">
        <v>8</v>
      </c>
      <c r="D486">
        <v>61877</v>
      </c>
      <c r="E486">
        <v>13743</v>
      </c>
      <c r="F486">
        <v>609</v>
      </c>
      <c r="G486" t="s">
        <v>9</v>
      </c>
      <c r="H486" t="s">
        <v>10</v>
      </c>
      <c r="I486" t="str">
        <f>IF(Table1[[#This Row],[Income]]&lt;=30000, "Low Income", IF(Table1[[#This Row],[Income]]&lt;=60000,"Medium Income","High Income"))</f>
        <v>High Income</v>
      </c>
      <c r="J486" s="1">
        <f>Table1[[#This Row],[LoanAmount]]/Table1[[#This Row],[Income]]</f>
        <v>0.2221019118573945</v>
      </c>
    </row>
    <row r="487" spans="1:10" x14ac:dyDescent="0.3">
      <c r="A487">
        <v>581</v>
      </c>
      <c r="B487">
        <v>58</v>
      </c>
      <c r="C487" t="s">
        <v>11</v>
      </c>
      <c r="D487">
        <v>68363</v>
      </c>
      <c r="E487">
        <v>10324</v>
      </c>
      <c r="F487">
        <v>727</v>
      </c>
      <c r="G487" t="s">
        <v>12</v>
      </c>
      <c r="H487" t="s">
        <v>13</v>
      </c>
      <c r="I487" t="str">
        <f>IF(Table1[[#This Row],[Income]]&lt;=30000, "Low Income", IF(Table1[[#This Row],[Income]]&lt;=60000,"Medium Income","High Income"))</f>
        <v>High Income</v>
      </c>
      <c r="J487" s="1">
        <f>Table1[[#This Row],[LoanAmount]]/Table1[[#This Row],[Income]]</f>
        <v>0.15101736319354037</v>
      </c>
    </row>
    <row r="488" spans="1:10" x14ac:dyDescent="0.3">
      <c r="A488">
        <v>583</v>
      </c>
      <c r="B488">
        <v>44</v>
      </c>
      <c r="C488" t="s">
        <v>8</v>
      </c>
      <c r="D488">
        <v>15661</v>
      </c>
      <c r="E488">
        <v>7588</v>
      </c>
      <c r="F488">
        <v>512</v>
      </c>
      <c r="G488" t="s">
        <v>9</v>
      </c>
      <c r="H488" t="s">
        <v>10</v>
      </c>
      <c r="I488" t="str">
        <f>IF(Table1[[#This Row],[Income]]&lt;=30000, "Low Income", IF(Table1[[#This Row],[Income]]&lt;=60000,"Medium Income","High Income"))</f>
        <v>Low Income</v>
      </c>
      <c r="J488" s="1">
        <f>Table1[[#This Row],[LoanAmount]]/Table1[[#This Row],[Income]]</f>
        <v>0.48451567588276612</v>
      </c>
    </row>
    <row r="489" spans="1:10" x14ac:dyDescent="0.3">
      <c r="A489">
        <v>584</v>
      </c>
      <c r="B489">
        <v>48</v>
      </c>
      <c r="C489" t="s">
        <v>11</v>
      </c>
      <c r="D489">
        <v>59843</v>
      </c>
      <c r="E489">
        <v>4311</v>
      </c>
      <c r="F489">
        <v>411</v>
      </c>
      <c r="G489" t="s">
        <v>9</v>
      </c>
      <c r="H489" t="s">
        <v>10</v>
      </c>
      <c r="I489" t="str">
        <f>IF(Table1[[#This Row],[Income]]&lt;=30000, "Low Income", IF(Table1[[#This Row],[Income]]&lt;=60000,"Medium Income","High Income"))</f>
        <v>Medium Income</v>
      </c>
      <c r="J489" s="1">
        <f>Table1[[#This Row],[LoanAmount]]/Table1[[#This Row],[Income]]</f>
        <v>7.2038500743612455E-2</v>
      </c>
    </row>
    <row r="490" spans="1:10" x14ac:dyDescent="0.3">
      <c r="A490">
        <v>585</v>
      </c>
      <c r="B490">
        <v>28</v>
      </c>
      <c r="C490" t="s">
        <v>11</v>
      </c>
      <c r="D490">
        <v>45137</v>
      </c>
      <c r="E490">
        <v>1987</v>
      </c>
      <c r="F490">
        <v>525</v>
      </c>
      <c r="G490" t="s">
        <v>9</v>
      </c>
      <c r="H490" t="s">
        <v>10</v>
      </c>
      <c r="I490" t="str">
        <f>IF(Table1[[#This Row],[Income]]&lt;=30000, "Low Income", IF(Table1[[#This Row],[Income]]&lt;=60000,"Medium Income","High Income"))</f>
        <v>Medium Income</v>
      </c>
      <c r="J490" s="1">
        <f>Table1[[#This Row],[LoanAmount]]/Table1[[#This Row],[Income]]</f>
        <v>4.4021534439595007E-2</v>
      </c>
    </row>
    <row r="491" spans="1:10" x14ac:dyDescent="0.3">
      <c r="A491">
        <v>586</v>
      </c>
      <c r="B491">
        <v>48</v>
      </c>
      <c r="C491" t="s">
        <v>11</v>
      </c>
      <c r="D491">
        <v>75963</v>
      </c>
      <c r="E491">
        <v>4321</v>
      </c>
      <c r="F491">
        <v>452</v>
      </c>
      <c r="G491" t="s">
        <v>9</v>
      </c>
      <c r="H491" t="s">
        <v>10</v>
      </c>
      <c r="I491" t="str">
        <f>IF(Table1[[#This Row],[Income]]&lt;=30000, "Low Income", IF(Table1[[#This Row],[Income]]&lt;=60000,"Medium Income","High Income"))</f>
        <v>High Income</v>
      </c>
      <c r="J491" s="1">
        <f>Table1[[#This Row],[LoanAmount]]/Table1[[#This Row],[Income]]</f>
        <v>5.6882956176033068E-2</v>
      </c>
    </row>
    <row r="492" spans="1:10" x14ac:dyDescent="0.3">
      <c r="A492">
        <v>587</v>
      </c>
      <c r="B492">
        <v>56</v>
      </c>
      <c r="C492" t="s">
        <v>11</v>
      </c>
      <c r="D492">
        <v>62556</v>
      </c>
      <c r="E492">
        <v>16812</v>
      </c>
      <c r="F492">
        <v>730</v>
      </c>
      <c r="G492" t="s">
        <v>12</v>
      </c>
      <c r="H492" t="s">
        <v>13</v>
      </c>
      <c r="I492" t="str">
        <f>IF(Table1[[#This Row],[Income]]&lt;=30000, "Low Income", IF(Table1[[#This Row],[Income]]&lt;=60000,"Medium Income","High Income"))</f>
        <v>High Income</v>
      </c>
      <c r="J492" s="1">
        <f>Table1[[#This Row],[LoanAmount]]/Table1[[#This Row],[Income]]</f>
        <v>0.26875119892576249</v>
      </c>
    </row>
    <row r="493" spans="1:10" x14ac:dyDescent="0.3">
      <c r="A493">
        <v>588</v>
      </c>
      <c r="B493">
        <v>46</v>
      </c>
      <c r="C493" t="s">
        <v>8</v>
      </c>
      <c r="D493">
        <v>48500</v>
      </c>
      <c r="E493">
        <v>5615</v>
      </c>
      <c r="F493">
        <v>788</v>
      </c>
      <c r="G493" t="s">
        <v>12</v>
      </c>
      <c r="H493" t="s">
        <v>14</v>
      </c>
      <c r="I493" t="str">
        <f>IF(Table1[[#This Row],[Income]]&lt;=30000, "Low Income", IF(Table1[[#This Row],[Income]]&lt;=60000,"Medium Income","High Income"))</f>
        <v>Medium Income</v>
      </c>
      <c r="J493" s="1">
        <f>Table1[[#This Row],[LoanAmount]]/Table1[[#This Row],[Income]]</f>
        <v>0.11577319587628866</v>
      </c>
    </row>
    <row r="494" spans="1:10" x14ac:dyDescent="0.3">
      <c r="A494">
        <v>589</v>
      </c>
      <c r="B494">
        <v>28</v>
      </c>
      <c r="C494" t="s">
        <v>8</v>
      </c>
      <c r="D494">
        <v>63604</v>
      </c>
      <c r="E494">
        <v>16512</v>
      </c>
      <c r="F494">
        <v>682</v>
      </c>
      <c r="G494" t="s">
        <v>12</v>
      </c>
      <c r="H494" t="s">
        <v>13</v>
      </c>
      <c r="I494" t="str">
        <f>IF(Table1[[#This Row],[Income]]&lt;=30000, "Low Income", IF(Table1[[#This Row],[Income]]&lt;=60000,"Medium Income","High Income"))</f>
        <v>High Income</v>
      </c>
      <c r="J494" s="1">
        <f>Table1[[#This Row],[LoanAmount]]/Table1[[#This Row],[Income]]</f>
        <v>0.25960631406829759</v>
      </c>
    </row>
    <row r="495" spans="1:10" x14ac:dyDescent="0.3">
      <c r="A495">
        <v>591</v>
      </c>
      <c r="B495">
        <v>48</v>
      </c>
      <c r="C495" t="s">
        <v>11</v>
      </c>
      <c r="D495">
        <v>18374</v>
      </c>
      <c r="E495">
        <v>14654</v>
      </c>
      <c r="F495">
        <v>800</v>
      </c>
      <c r="G495" t="s">
        <v>9</v>
      </c>
      <c r="H495" t="s">
        <v>14</v>
      </c>
      <c r="I495" t="str">
        <f>IF(Table1[[#This Row],[Income]]&lt;=30000, "Low Income", IF(Table1[[#This Row],[Income]]&lt;=60000,"Medium Income","High Income"))</f>
        <v>Low Income</v>
      </c>
      <c r="J495" s="1">
        <f>Table1[[#This Row],[LoanAmount]]/Table1[[#This Row],[Income]]</f>
        <v>0.79754000217698917</v>
      </c>
    </row>
    <row r="496" spans="1:10" x14ac:dyDescent="0.3">
      <c r="A496">
        <v>592</v>
      </c>
      <c r="B496">
        <v>57</v>
      </c>
      <c r="C496" t="s">
        <v>11</v>
      </c>
      <c r="D496">
        <v>40592</v>
      </c>
      <c r="E496">
        <v>4052</v>
      </c>
      <c r="F496">
        <v>789</v>
      </c>
      <c r="G496" t="s">
        <v>12</v>
      </c>
      <c r="H496" t="s">
        <v>14</v>
      </c>
      <c r="I496" t="str">
        <f>IF(Table1[[#This Row],[Income]]&lt;=30000, "Low Income", IF(Table1[[#This Row],[Income]]&lt;=60000,"Medium Income","High Income"))</f>
        <v>Medium Income</v>
      </c>
      <c r="J496" s="1">
        <f>Table1[[#This Row],[LoanAmount]]/Table1[[#This Row],[Income]]</f>
        <v>9.9822625147812372E-2</v>
      </c>
    </row>
    <row r="497" spans="1:10" x14ac:dyDescent="0.3">
      <c r="A497">
        <v>593</v>
      </c>
      <c r="B497">
        <v>56</v>
      </c>
      <c r="C497" t="s">
        <v>8</v>
      </c>
      <c r="D497">
        <v>43982</v>
      </c>
      <c r="E497">
        <v>1726</v>
      </c>
      <c r="F497">
        <v>496</v>
      </c>
      <c r="G497" t="s">
        <v>9</v>
      </c>
      <c r="H497" t="s">
        <v>10</v>
      </c>
      <c r="I497" t="str">
        <f>IF(Table1[[#This Row],[Income]]&lt;=30000, "Low Income", IF(Table1[[#This Row],[Income]]&lt;=60000,"Medium Income","High Income"))</f>
        <v>Medium Income</v>
      </c>
      <c r="J497" s="1">
        <f>Table1[[#This Row],[LoanAmount]]/Table1[[#This Row],[Income]]</f>
        <v>3.9243326815515435E-2</v>
      </c>
    </row>
    <row r="498" spans="1:10" x14ac:dyDescent="0.3">
      <c r="A498">
        <v>595</v>
      </c>
      <c r="B498">
        <v>37</v>
      </c>
      <c r="C498" t="s">
        <v>11</v>
      </c>
      <c r="D498">
        <v>50433</v>
      </c>
      <c r="E498">
        <v>2875</v>
      </c>
      <c r="F498">
        <v>456</v>
      </c>
      <c r="G498" t="s">
        <v>9</v>
      </c>
      <c r="H498" t="s">
        <v>10</v>
      </c>
      <c r="I498" t="str">
        <f>IF(Table1[[#This Row],[Income]]&lt;=30000, "Low Income", IF(Table1[[#This Row],[Income]]&lt;=60000,"Medium Income","High Income"))</f>
        <v>Medium Income</v>
      </c>
      <c r="J498" s="1">
        <f>Table1[[#This Row],[LoanAmount]]/Table1[[#This Row],[Income]]</f>
        <v>5.7006325223563935E-2</v>
      </c>
    </row>
    <row r="499" spans="1:10" x14ac:dyDescent="0.3">
      <c r="A499">
        <v>596</v>
      </c>
      <c r="B499">
        <v>29</v>
      </c>
      <c r="C499" t="s">
        <v>11</v>
      </c>
      <c r="D499">
        <v>66645</v>
      </c>
      <c r="E499">
        <v>14969</v>
      </c>
      <c r="F499">
        <v>811</v>
      </c>
      <c r="G499" t="s">
        <v>12</v>
      </c>
      <c r="H499" t="s">
        <v>14</v>
      </c>
      <c r="I499" t="str">
        <f>IF(Table1[[#This Row],[Income]]&lt;=30000, "Low Income", IF(Table1[[#This Row],[Income]]&lt;=60000,"Medium Income","High Income"))</f>
        <v>High Income</v>
      </c>
      <c r="J499" s="1">
        <f>Table1[[#This Row],[LoanAmount]]/Table1[[#This Row],[Income]]</f>
        <v>0.22460799759921973</v>
      </c>
    </row>
    <row r="500" spans="1:10" x14ac:dyDescent="0.3">
      <c r="A500">
        <v>597</v>
      </c>
      <c r="B500">
        <v>53</v>
      </c>
      <c r="C500" t="s">
        <v>11</v>
      </c>
      <c r="D500">
        <v>38197</v>
      </c>
      <c r="E500">
        <v>5033</v>
      </c>
      <c r="F500">
        <v>733</v>
      </c>
      <c r="G500" t="s">
        <v>12</v>
      </c>
      <c r="H500" t="s">
        <v>13</v>
      </c>
      <c r="I500" t="str">
        <f>IF(Table1[[#This Row],[Income]]&lt;=30000, "Low Income", IF(Table1[[#This Row],[Income]]&lt;=60000,"Medium Income","High Income"))</f>
        <v>Medium Income</v>
      </c>
      <c r="J500" s="1">
        <f>Table1[[#This Row],[LoanAmount]]/Table1[[#This Row],[Income]]</f>
        <v>0.1317642746812577</v>
      </c>
    </row>
    <row r="501" spans="1:10" x14ac:dyDescent="0.3">
      <c r="A501">
        <v>598</v>
      </c>
      <c r="B501">
        <v>40</v>
      </c>
      <c r="C501" t="s">
        <v>8</v>
      </c>
      <c r="D501">
        <v>48400</v>
      </c>
      <c r="E501">
        <v>6443</v>
      </c>
      <c r="F501">
        <v>468</v>
      </c>
      <c r="G501" t="s">
        <v>9</v>
      </c>
      <c r="H501" t="s">
        <v>10</v>
      </c>
      <c r="I501" t="str">
        <f>IF(Table1[[#This Row],[Income]]&lt;=30000, "Low Income", IF(Table1[[#This Row],[Income]]&lt;=60000,"Medium Income","High Income"))</f>
        <v>Medium Income</v>
      </c>
      <c r="J501" s="1">
        <f>Table1[[#This Row],[LoanAmount]]/Table1[[#This Row],[Income]]</f>
        <v>0.13311983471074379</v>
      </c>
    </row>
    <row r="502" spans="1:10" x14ac:dyDescent="0.3">
      <c r="A502">
        <v>600</v>
      </c>
      <c r="B502">
        <v>48</v>
      </c>
      <c r="C502" t="s">
        <v>8</v>
      </c>
      <c r="D502">
        <v>75303</v>
      </c>
      <c r="E502">
        <v>4744</v>
      </c>
      <c r="F502">
        <v>775</v>
      </c>
      <c r="G502" t="s">
        <v>12</v>
      </c>
      <c r="H502" t="s">
        <v>14</v>
      </c>
      <c r="I502" t="str">
        <f>IF(Table1[[#This Row],[Income]]&lt;=30000, "Low Income", IF(Table1[[#This Row],[Income]]&lt;=60000,"Medium Income","High Income"))</f>
        <v>High Income</v>
      </c>
      <c r="J502" s="1">
        <f>Table1[[#This Row],[LoanAmount]]/Table1[[#This Row],[Income]]</f>
        <v>6.2998818108176299E-2</v>
      </c>
    </row>
    <row r="503" spans="1:10" x14ac:dyDescent="0.3">
      <c r="A503">
        <v>601</v>
      </c>
      <c r="B503">
        <v>49</v>
      </c>
      <c r="C503" t="s">
        <v>11</v>
      </c>
      <c r="D503">
        <v>18083</v>
      </c>
      <c r="E503">
        <v>17977</v>
      </c>
      <c r="F503">
        <v>458</v>
      </c>
      <c r="G503" t="s">
        <v>9</v>
      </c>
      <c r="H503" t="s">
        <v>10</v>
      </c>
      <c r="I503" t="str">
        <f>IF(Table1[[#This Row],[Income]]&lt;=30000, "Low Income", IF(Table1[[#This Row],[Income]]&lt;=60000,"Medium Income","High Income"))</f>
        <v>Low Income</v>
      </c>
      <c r="J503" s="1">
        <f>Table1[[#This Row],[LoanAmount]]/Table1[[#This Row],[Income]]</f>
        <v>0.994138140795222</v>
      </c>
    </row>
    <row r="504" spans="1:10" x14ac:dyDescent="0.3">
      <c r="A504">
        <v>603</v>
      </c>
      <c r="B504">
        <v>55</v>
      </c>
      <c r="C504" t="s">
        <v>8</v>
      </c>
      <c r="D504">
        <v>61479</v>
      </c>
      <c r="E504">
        <v>11651</v>
      </c>
      <c r="F504">
        <v>717</v>
      </c>
      <c r="G504" t="s">
        <v>12</v>
      </c>
      <c r="H504" t="s">
        <v>13</v>
      </c>
      <c r="I504" t="str">
        <f>IF(Table1[[#This Row],[Income]]&lt;=30000, "Low Income", IF(Table1[[#This Row],[Income]]&lt;=60000,"Medium Income","High Income"))</f>
        <v>High Income</v>
      </c>
      <c r="J504" s="1">
        <f>Table1[[#This Row],[LoanAmount]]/Table1[[#This Row],[Income]]</f>
        <v>0.18951186584036825</v>
      </c>
    </row>
    <row r="505" spans="1:10" x14ac:dyDescent="0.3">
      <c r="A505">
        <v>604</v>
      </c>
      <c r="B505">
        <v>26</v>
      </c>
      <c r="C505" t="s">
        <v>11</v>
      </c>
      <c r="D505">
        <v>57891</v>
      </c>
      <c r="E505">
        <v>1935</v>
      </c>
      <c r="F505">
        <v>449</v>
      </c>
      <c r="G505" t="s">
        <v>9</v>
      </c>
      <c r="H505" t="s">
        <v>10</v>
      </c>
      <c r="I505" t="str">
        <f>IF(Table1[[#This Row],[Income]]&lt;=30000, "Low Income", IF(Table1[[#This Row],[Income]]&lt;=60000,"Medium Income","High Income"))</f>
        <v>Medium Income</v>
      </c>
      <c r="J505" s="1">
        <f>Table1[[#This Row],[LoanAmount]]/Table1[[#This Row],[Income]]</f>
        <v>3.3424884697103176E-2</v>
      </c>
    </row>
    <row r="506" spans="1:10" x14ac:dyDescent="0.3">
      <c r="A506">
        <v>605</v>
      </c>
      <c r="B506">
        <v>38</v>
      </c>
      <c r="C506" t="s">
        <v>11</v>
      </c>
      <c r="D506">
        <v>35103</v>
      </c>
      <c r="E506">
        <v>14395</v>
      </c>
      <c r="F506">
        <v>767</v>
      </c>
      <c r="G506" t="s">
        <v>9</v>
      </c>
      <c r="H506" t="s">
        <v>14</v>
      </c>
      <c r="I506" t="str">
        <f>IF(Table1[[#This Row],[Income]]&lt;=30000, "Low Income", IF(Table1[[#This Row],[Income]]&lt;=60000,"Medium Income","High Income"))</f>
        <v>Medium Income</v>
      </c>
      <c r="J506" s="1">
        <f>Table1[[#This Row],[LoanAmount]]/Table1[[#This Row],[Income]]</f>
        <v>0.4100789106344187</v>
      </c>
    </row>
    <row r="507" spans="1:10" x14ac:dyDescent="0.3">
      <c r="A507">
        <v>607</v>
      </c>
      <c r="B507">
        <v>45</v>
      </c>
      <c r="C507" t="s">
        <v>8</v>
      </c>
      <c r="D507">
        <v>25754</v>
      </c>
      <c r="E507">
        <v>17715</v>
      </c>
      <c r="F507">
        <v>613</v>
      </c>
      <c r="G507" t="s">
        <v>9</v>
      </c>
      <c r="H507" t="s">
        <v>10</v>
      </c>
      <c r="I507" t="str">
        <f>IF(Table1[[#This Row],[Income]]&lt;=30000, "Low Income", IF(Table1[[#This Row],[Income]]&lt;=60000,"Medium Income","High Income"))</f>
        <v>Low Income</v>
      </c>
      <c r="J507" s="1">
        <f>Table1[[#This Row],[LoanAmount]]/Table1[[#This Row],[Income]]</f>
        <v>0.68785431389298746</v>
      </c>
    </row>
    <row r="508" spans="1:10" x14ac:dyDescent="0.3">
      <c r="A508">
        <v>608</v>
      </c>
      <c r="B508">
        <v>22</v>
      </c>
      <c r="C508" t="s">
        <v>8</v>
      </c>
      <c r="D508">
        <v>49447</v>
      </c>
      <c r="E508">
        <v>12641</v>
      </c>
      <c r="F508">
        <v>596</v>
      </c>
      <c r="G508" t="s">
        <v>9</v>
      </c>
      <c r="H508" t="s">
        <v>10</v>
      </c>
      <c r="I508" t="str">
        <f>IF(Table1[[#This Row],[Income]]&lt;=30000, "Low Income", IF(Table1[[#This Row],[Income]]&lt;=60000,"Medium Income","High Income"))</f>
        <v>Medium Income</v>
      </c>
      <c r="J508" s="1">
        <f>Table1[[#This Row],[LoanAmount]]/Table1[[#This Row],[Income]]</f>
        <v>0.25564746091775031</v>
      </c>
    </row>
    <row r="509" spans="1:10" x14ac:dyDescent="0.3">
      <c r="A509">
        <v>610</v>
      </c>
      <c r="B509">
        <v>50</v>
      </c>
      <c r="C509" t="s">
        <v>11</v>
      </c>
      <c r="D509">
        <v>48004</v>
      </c>
      <c r="E509">
        <v>6889</v>
      </c>
      <c r="F509">
        <v>849</v>
      </c>
      <c r="G509" t="s">
        <v>12</v>
      </c>
      <c r="H509" t="s">
        <v>14</v>
      </c>
      <c r="I509" t="str">
        <f>IF(Table1[[#This Row],[Income]]&lt;=30000, "Low Income", IF(Table1[[#This Row],[Income]]&lt;=60000,"Medium Income","High Income"))</f>
        <v>Medium Income</v>
      </c>
      <c r="J509" s="1">
        <f>Table1[[#This Row],[LoanAmount]]/Table1[[#This Row],[Income]]</f>
        <v>0.14350887426047829</v>
      </c>
    </row>
    <row r="510" spans="1:10" x14ac:dyDescent="0.3">
      <c r="A510">
        <v>611</v>
      </c>
      <c r="B510">
        <v>25</v>
      </c>
      <c r="C510" t="s">
        <v>8</v>
      </c>
      <c r="D510">
        <v>22446</v>
      </c>
      <c r="E510">
        <v>6054</v>
      </c>
      <c r="F510">
        <v>446</v>
      </c>
      <c r="G510" t="s">
        <v>9</v>
      </c>
      <c r="H510" t="s">
        <v>10</v>
      </c>
      <c r="I510" t="str">
        <f>IF(Table1[[#This Row],[Income]]&lt;=30000, "Low Income", IF(Table1[[#This Row],[Income]]&lt;=60000,"Medium Income","High Income"))</f>
        <v>Low Income</v>
      </c>
      <c r="J510" s="1">
        <f>Table1[[#This Row],[LoanAmount]]/Table1[[#This Row],[Income]]</f>
        <v>0.26971398021919274</v>
      </c>
    </row>
    <row r="511" spans="1:10" x14ac:dyDescent="0.3">
      <c r="A511">
        <v>612</v>
      </c>
      <c r="B511">
        <v>53</v>
      </c>
      <c r="C511" t="s">
        <v>8</v>
      </c>
      <c r="D511">
        <v>52211</v>
      </c>
      <c r="E511">
        <v>4868</v>
      </c>
      <c r="F511">
        <v>566</v>
      </c>
      <c r="G511" t="s">
        <v>9</v>
      </c>
      <c r="H511" t="s">
        <v>10</v>
      </c>
      <c r="I511" t="str">
        <f>IF(Table1[[#This Row],[Income]]&lt;=30000, "Low Income", IF(Table1[[#This Row],[Income]]&lt;=60000,"Medium Income","High Income"))</f>
        <v>Medium Income</v>
      </c>
      <c r="J511" s="1">
        <f>Table1[[#This Row],[LoanAmount]]/Table1[[#This Row],[Income]]</f>
        <v>9.3237057325084749E-2</v>
      </c>
    </row>
    <row r="512" spans="1:10" x14ac:dyDescent="0.3">
      <c r="A512">
        <v>613</v>
      </c>
      <c r="B512">
        <v>21</v>
      </c>
      <c r="C512" t="s">
        <v>11</v>
      </c>
      <c r="D512">
        <v>48500</v>
      </c>
      <c r="E512">
        <v>17585</v>
      </c>
      <c r="F512">
        <v>688</v>
      </c>
      <c r="G512" t="s">
        <v>12</v>
      </c>
      <c r="H512" t="s">
        <v>13</v>
      </c>
      <c r="I512" t="str">
        <f>IF(Table1[[#This Row],[Income]]&lt;=30000, "Low Income", IF(Table1[[#This Row],[Income]]&lt;=60000,"Medium Income","High Income"))</f>
        <v>Medium Income</v>
      </c>
      <c r="J512" s="1">
        <f>Table1[[#This Row],[LoanAmount]]/Table1[[#This Row],[Income]]</f>
        <v>0.36257731958762884</v>
      </c>
    </row>
    <row r="513" spans="1:10" x14ac:dyDescent="0.3">
      <c r="A513">
        <v>614</v>
      </c>
      <c r="B513">
        <v>38</v>
      </c>
      <c r="C513" t="s">
        <v>8</v>
      </c>
      <c r="D513">
        <v>63231</v>
      </c>
      <c r="E513">
        <v>19881</v>
      </c>
      <c r="F513">
        <v>540</v>
      </c>
      <c r="G513" t="s">
        <v>9</v>
      </c>
      <c r="H513" t="s">
        <v>10</v>
      </c>
      <c r="I513" t="str">
        <f>IF(Table1[[#This Row],[Income]]&lt;=30000, "Low Income", IF(Table1[[#This Row],[Income]]&lt;=60000,"Medium Income","High Income"))</f>
        <v>High Income</v>
      </c>
      <c r="J513" s="1">
        <f>Table1[[#This Row],[LoanAmount]]/Table1[[#This Row],[Income]]</f>
        <v>0.31441856051620248</v>
      </c>
    </row>
    <row r="514" spans="1:10" x14ac:dyDescent="0.3">
      <c r="A514">
        <v>615</v>
      </c>
      <c r="B514">
        <v>52</v>
      </c>
      <c r="C514" t="s">
        <v>11</v>
      </c>
      <c r="D514">
        <v>44301</v>
      </c>
      <c r="E514">
        <v>2842</v>
      </c>
      <c r="F514">
        <v>483</v>
      </c>
      <c r="G514" t="s">
        <v>9</v>
      </c>
      <c r="H514" t="s">
        <v>10</v>
      </c>
      <c r="I514" t="str">
        <f>IF(Table1[[#This Row],[Income]]&lt;=30000, "Low Income", IF(Table1[[#This Row],[Income]]&lt;=60000,"Medium Income","High Income"))</f>
        <v>Medium Income</v>
      </c>
      <c r="J514" s="1">
        <f>Table1[[#This Row],[LoanAmount]]/Table1[[#This Row],[Income]]</f>
        <v>6.4152050743775529E-2</v>
      </c>
    </row>
    <row r="515" spans="1:10" x14ac:dyDescent="0.3">
      <c r="A515">
        <v>616</v>
      </c>
      <c r="B515">
        <v>31</v>
      </c>
      <c r="C515" t="s">
        <v>11</v>
      </c>
      <c r="D515">
        <v>41116</v>
      </c>
      <c r="E515">
        <v>11058</v>
      </c>
      <c r="F515">
        <v>581</v>
      </c>
      <c r="G515" t="s">
        <v>9</v>
      </c>
      <c r="H515" t="s">
        <v>10</v>
      </c>
      <c r="I515" t="str">
        <f>IF(Table1[[#This Row],[Income]]&lt;=30000, "Low Income", IF(Table1[[#This Row],[Income]]&lt;=60000,"Medium Income","High Income"))</f>
        <v>Medium Income</v>
      </c>
      <c r="J515" s="1">
        <f>Table1[[#This Row],[LoanAmount]]/Table1[[#This Row],[Income]]</f>
        <v>0.26894639556377081</v>
      </c>
    </row>
    <row r="516" spans="1:10" x14ac:dyDescent="0.3">
      <c r="A516">
        <v>617</v>
      </c>
      <c r="B516">
        <v>41</v>
      </c>
      <c r="C516" t="s">
        <v>11</v>
      </c>
      <c r="D516">
        <v>70251</v>
      </c>
      <c r="E516">
        <v>10101</v>
      </c>
      <c r="F516">
        <v>790</v>
      </c>
      <c r="G516" t="s">
        <v>12</v>
      </c>
      <c r="H516" t="s">
        <v>14</v>
      </c>
      <c r="I516" t="str">
        <f>IF(Table1[[#This Row],[Income]]&lt;=30000, "Low Income", IF(Table1[[#This Row],[Income]]&lt;=60000,"Medium Income","High Income"))</f>
        <v>High Income</v>
      </c>
      <c r="J516" s="1">
        <f>Table1[[#This Row],[LoanAmount]]/Table1[[#This Row],[Income]]</f>
        <v>0.1437844301148738</v>
      </c>
    </row>
    <row r="517" spans="1:10" x14ac:dyDescent="0.3">
      <c r="A517">
        <v>618</v>
      </c>
      <c r="B517">
        <v>46</v>
      </c>
      <c r="C517" t="s">
        <v>8</v>
      </c>
      <c r="D517">
        <v>76287</v>
      </c>
      <c r="E517">
        <v>13497</v>
      </c>
      <c r="F517">
        <v>478</v>
      </c>
      <c r="G517" t="s">
        <v>9</v>
      </c>
      <c r="H517" t="s">
        <v>10</v>
      </c>
      <c r="I517" t="str">
        <f>IF(Table1[[#This Row],[Income]]&lt;=30000, "Low Income", IF(Table1[[#This Row],[Income]]&lt;=60000,"Medium Income","High Income"))</f>
        <v>High Income</v>
      </c>
      <c r="J517" s="1">
        <f>Table1[[#This Row],[LoanAmount]]/Table1[[#This Row],[Income]]</f>
        <v>0.17692398442722876</v>
      </c>
    </row>
    <row r="518" spans="1:10" x14ac:dyDescent="0.3">
      <c r="A518">
        <v>619</v>
      </c>
      <c r="B518">
        <v>45</v>
      </c>
      <c r="C518" t="s">
        <v>8</v>
      </c>
      <c r="D518">
        <v>77711</v>
      </c>
      <c r="E518">
        <v>5658</v>
      </c>
      <c r="F518">
        <v>614</v>
      </c>
      <c r="G518" t="s">
        <v>9</v>
      </c>
      <c r="H518" t="s">
        <v>10</v>
      </c>
      <c r="I518" t="str">
        <f>IF(Table1[[#This Row],[Income]]&lt;=30000, "Low Income", IF(Table1[[#This Row],[Income]]&lt;=60000,"Medium Income","High Income"))</f>
        <v>High Income</v>
      </c>
      <c r="J518" s="1">
        <f>Table1[[#This Row],[LoanAmount]]/Table1[[#This Row],[Income]]</f>
        <v>7.2808225347762864E-2</v>
      </c>
    </row>
    <row r="519" spans="1:10" x14ac:dyDescent="0.3">
      <c r="A519">
        <v>620</v>
      </c>
      <c r="B519">
        <v>42</v>
      </c>
      <c r="C519" t="s">
        <v>11</v>
      </c>
      <c r="D519">
        <v>56323</v>
      </c>
      <c r="E519">
        <v>12381</v>
      </c>
      <c r="F519">
        <v>413</v>
      </c>
      <c r="G519" t="s">
        <v>9</v>
      </c>
      <c r="H519" t="s">
        <v>10</v>
      </c>
      <c r="I519" t="str">
        <f>IF(Table1[[#This Row],[Income]]&lt;=30000, "Low Income", IF(Table1[[#This Row],[Income]]&lt;=60000,"Medium Income","High Income"))</f>
        <v>Medium Income</v>
      </c>
      <c r="J519" s="1">
        <f>Table1[[#This Row],[LoanAmount]]/Table1[[#This Row],[Income]]</f>
        <v>0.21982138735507697</v>
      </c>
    </row>
    <row r="520" spans="1:10" x14ac:dyDescent="0.3">
      <c r="A520">
        <v>621</v>
      </c>
      <c r="B520">
        <v>47</v>
      </c>
      <c r="C520" t="s">
        <v>8</v>
      </c>
      <c r="D520">
        <v>33752</v>
      </c>
      <c r="E520">
        <v>8544</v>
      </c>
      <c r="F520">
        <v>614</v>
      </c>
      <c r="G520" t="s">
        <v>9</v>
      </c>
      <c r="H520" t="s">
        <v>10</v>
      </c>
      <c r="I520" t="str">
        <f>IF(Table1[[#This Row],[Income]]&lt;=30000, "Low Income", IF(Table1[[#This Row],[Income]]&lt;=60000,"Medium Income","High Income"))</f>
        <v>Medium Income</v>
      </c>
      <c r="J520" s="1">
        <f>Table1[[#This Row],[LoanAmount]]/Table1[[#This Row],[Income]]</f>
        <v>0.25314055463379947</v>
      </c>
    </row>
    <row r="521" spans="1:10" x14ac:dyDescent="0.3">
      <c r="A521">
        <v>622</v>
      </c>
      <c r="B521">
        <v>33</v>
      </c>
      <c r="C521" t="s">
        <v>8</v>
      </c>
      <c r="D521">
        <v>47376</v>
      </c>
      <c r="E521">
        <v>8718</v>
      </c>
      <c r="F521">
        <v>802</v>
      </c>
      <c r="G521" t="s">
        <v>12</v>
      </c>
      <c r="H521" t="s">
        <v>14</v>
      </c>
      <c r="I521" t="str">
        <f>IF(Table1[[#This Row],[Income]]&lt;=30000, "Low Income", IF(Table1[[#This Row],[Income]]&lt;=60000,"Medium Income","High Income"))</f>
        <v>Medium Income</v>
      </c>
      <c r="J521" s="1">
        <f>Table1[[#This Row],[LoanAmount]]/Table1[[#This Row],[Income]]</f>
        <v>0.18401722391084094</v>
      </c>
    </row>
    <row r="522" spans="1:10" x14ac:dyDescent="0.3">
      <c r="A522">
        <v>623</v>
      </c>
      <c r="B522">
        <v>53</v>
      </c>
      <c r="C522" t="s">
        <v>11</v>
      </c>
      <c r="D522">
        <v>31669</v>
      </c>
      <c r="E522">
        <v>14851</v>
      </c>
      <c r="F522">
        <v>527</v>
      </c>
      <c r="G522" t="s">
        <v>9</v>
      </c>
      <c r="H522" t="s">
        <v>10</v>
      </c>
      <c r="I522" t="str">
        <f>IF(Table1[[#This Row],[Income]]&lt;=30000, "Low Income", IF(Table1[[#This Row],[Income]]&lt;=60000,"Medium Income","High Income"))</f>
        <v>Medium Income</v>
      </c>
      <c r="J522" s="1">
        <f>Table1[[#This Row],[LoanAmount]]/Table1[[#This Row],[Income]]</f>
        <v>0.46894439357100004</v>
      </c>
    </row>
    <row r="523" spans="1:10" x14ac:dyDescent="0.3">
      <c r="A523">
        <v>624</v>
      </c>
      <c r="B523">
        <v>54</v>
      </c>
      <c r="C523" t="s">
        <v>11</v>
      </c>
      <c r="D523">
        <v>47916</v>
      </c>
      <c r="E523">
        <v>18154</v>
      </c>
      <c r="F523">
        <v>709</v>
      </c>
      <c r="G523" t="s">
        <v>12</v>
      </c>
      <c r="H523" t="s">
        <v>13</v>
      </c>
      <c r="I523" t="str">
        <f>IF(Table1[[#This Row],[Income]]&lt;=30000, "Low Income", IF(Table1[[#This Row],[Income]]&lt;=60000,"Medium Income","High Income"))</f>
        <v>Medium Income</v>
      </c>
      <c r="J523" s="1">
        <f>Table1[[#This Row],[LoanAmount]]/Table1[[#This Row],[Income]]</f>
        <v>0.37887135821020118</v>
      </c>
    </row>
    <row r="524" spans="1:10" x14ac:dyDescent="0.3">
      <c r="A524">
        <v>625</v>
      </c>
      <c r="B524">
        <v>55</v>
      </c>
      <c r="C524" t="s">
        <v>8</v>
      </c>
      <c r="D524">
        <v>28395</v>
      </c>
      <c r="E524">
        <v>12777</v>
      </c>
      <c r="F524">
        <v>647</v>
      </c>
      <c r="G524" t="s">
        <v>9</v>
      </c>
      <c r="H524" t="s">
        <v>10</v>
      </c>
      <c r="I524" t="str">
        <f>IF(Table1[[#This Row],[Income]]&lt;=30000, "Low Income", IF(Table1[[#This Row],[Income]]&lt;=60000,"Medium Income","High Income"))</f>
        <v>Low Income</v>
      </c>
      <c r="J524" s="1">
        <f>Table1[[#This Row],[LoanAmount]]/Table1[[#This Row],[Income]]</f>
        <v>0.44997358689910194</v>
      </c>
    </row>
    <row r="525" spans="1:10" x14ac:dyDescent="0.3">
      <c r="A525">
        <v>628</v>
      </c>
      <c r="B525">
        <v>26</v>
      </c>
      <c r="C525" t="s">
        <v>8</v>
      </c>
      <c r="D525">
        <v>71273</v>
      </c>
      <c r="E525">
        <v>7031</v>
      </c>
      <c r="F525">
        <v>679</v>
      </c>
      <c r="G525" t="s">
        <v>9</v>
      </c>
      <c r="H525" t="s">
        <v>13</v>
      </c>
      <c r="I525" t="str">
        <f>IF(Table1[[#This Row],[Income]]&lt;=30000, "Low Income", IF(Table1[[#This Row],[Income]]&lt;=60000,"Medium Income","High Income"))</f>
        <v>High Income</v>
      </c>
      <c r="J525" s="1">
        <f>Table1[[#This Row],[LoanAmount]]/Table1[[#This Row],[Income]]</f>
        <v>9.8648857211005567E-2</v>
      </c>
    </row>
    <row r="526" spans="1:10" x14ac:dyDescent="0.3">
      <c r="A526">
        <v>629</v>
      </c>
      <c r="B526">
        <v>48</v>
      </c>
      <c r="C526" t="s">
        <v>8</v>
      </c>
      <c r="D526">
        <v>76895</v>
      </c>
      <c r="E526">
        <v>7439</v>
      </c>
      <c r="F526">
        <v>737</v>
      </c>
      <c r="G526" t="s">
        <v>12</v>
      </c>
      <c r="H526" t="s">
        <v>13</v>
      </c>
      <c r="I526" t="str">
        <f>IF(Table1[[#This Row],[Income]]&lt;=30000, "Low Income", IF(Table1[[#This Row],[Income]]&lt;=60000,"Medium Income","High Income"))</f>
        <v>High Income</v>
      </c>
      <c r="J526" s="1">
        <f>Table1[[#This Row],[LoanAmount]]/Table1[[#This Row],[Income]]</f>
        <v>9.6742310943494378E-2</v>
      </c>
    </row>
    <row r="527" spans="1:10" x14ac:dyDescent="0.3">
      <c r="A527">
        <v>632</v>
      </c>
      <c r="B527">
        <v>51</v>
      </c>
      <c r="C527" t="s">
        <v>11</v>
      </c>
      <c r="D527">
        <v>69432</v>
      </c>
      <c r="E527">
        <v>3282</v>
      </c>
      <c r="F527">
        <v>760</v>
      </c>
      <c r="G527" t="s">
        <v>12</v>
      </c>
      <c r="H527" t="s">
        <v>14</v>
      </c>
      <c r="I527" t="str">
        <f>IF(Table1[[#This Row],[Income]]&lt;=30000, "Low Income", IF(Table1[[#This Row],[Income]]&lt;=60000,"Medium Income","High Income"))</f>
        <v>High Income</v>
      </c>
      <c r="J527" s="1">
        <f>Table1[[#This Row],[LoanAmount]]/Table1[[#This Row],[Income]]</f>
        <v>4.7269270653301068E-2</v>
      </c>
    </row>
    <row r="528" spans="1:10" x14ac:dyDescent="0.3">
      <c r="A528">
        <v>633</v>
      </c>
      <c r="B528">
        <v>25</v>
      </c>
      <c r="C528" t="s">
        <v>11</v>
      </c>
      <c r="D528">
        <v>65164</v>
      </c>
      <c r="E528">
        <v>2856</v>
      </c>
      <c r="F528">
        <v>456</v>
      </c>
      <c r="G528" t="s">
        <v>9</v>
      </c>
      <c r="H528" t="s">
        <v>10</v>
      </c>
      <c r="I528" t="str">
        <f>IF(Table1[[#This Row],[Income]]&lt;=30000, "Low Income", IF(Table1[[#This Row],[Income]]&lt;=60000,"Medium Income","High Income"))</f>
        <v>High Income</v>
      </c>
      <c r="J528" s="1">
        <f>Table1[[#This Row],[LoanAmount]]/Table1[[#This Row],[Income]]</f>
        <v>4.3827880424774417E-2</v>
      </c>
    </row>
    <row r="529" spans="1:10" x14ac:dyDescent="0.3">
      <c r="A529">
        <v>634</v>
      </c>
      <c r="B529">
        <v>58</v>
      </c>
      <c r="C529" t="s">
        <v>11</v>
      </c>
      <c r="D529">
        <v>26023</v>
      </c>
      <c r="E529">
        <v>16670</v>
      </c>
      <c r="F529">
        <v>791</v>
      </c>
      <c r="G529" t="s">
        <v>9</v>
      </c>
      <c r="H529" t="s">
        <v>14</v>
      </c>
      <c r="I529" t="str">
        <f>IF(Table1[[#This Row],[Income]]&lt;=30000, "Low Income", IF(Table1[[#This Row],[Income]]&lt;=60000,"Medium Income","High Income"))</f>
        <v>Low Income</v>
      </c>
      <c r="J529" s="1">
        <f>Table1[[#This Row],[LoanAmount]]/Table1[[#This Row],[Income]]</f>
        <v>0.64058717288552436</v>
      </c>
    </row>
    <row r="530" spans="1:10" x14ac:dyDescent="0.3">
      <c r="A530">
        <v>635</v>
      </c>
      <c r="B530">
        <v>23</v>
      </c>
      <c r="C530" t="s">
        <v>8</v>
      </c>
      <c r="D530">
        <v>25699</v>
      </c>
      <c r="E530">
        <v>2998</v>
      </c>
      <c r="F530">
        <v>617</v>
      </c>
      <c r="G530" t="s">
        <v>9</v>
      </c>
      <c r="H530" t="s">
        <v>10</v>
      </c>
      <c r="I530" t="str">
        <f>IF(Table1[[#This Row],[Income]]&lt;=30000, "Low Income", IF(Table1[[#This Row],[Income]]&lt;=60000,"Medium Income","High Income"))</f>
        <v>Low Income</v>
      </c>
      <c r="J530" s="1">
        <f>Table1[[#This Row],[LoanAmount]]/Table1[[#This Row],[Income]]</f>
        <v>0.11665823572901669</v>
      </c>
    </row>
    <row r="531" spans="1:10" x14ac:dyDescent="0.3">
      <c r="A531">
        <v>636</v>
      </c>
      <c r="B531">
        <v>43</v>
      </c>
      <c r="C531" t="s">
        <v>8</v>
      </c>
      <c r="D531">
        <v>24715</v>
      </c>
      <c r="E531">
        <v>6476</v>
      </c>
      <c r="F531">
        <v>461</v>
      </c>
      <c r="G531" t="s">
        <v>9</v>
      </c>
      <c r="H531" t="s">
        <v>10</v>
      </c>
      <c r="I531" t="str">
        <f>IF(Table1[[#This Row],[Income]]&lt;=30000, "Low Income", IF(Table1[[#This Row],[Income]]&lt;=60000,"Medium Income","High Income"))</f>
        <v>Low Income</v>
      </c>
      <c r="J531" s="1">
        <f>Table1[[#This Row],[LoanAmount]]/Table1[[#This Row],[Income]]</f>
        <v>0.26202710904309123</v>
      </c>
    </row>
    <row r="532" spans="1:10" x14ac:dyDescent="0.3">
      <c r="A532">
        <v>637</v>
      </c>
      <c r="B532">
        <v>57</v>
      </c>
      <c r="C532" t="s">
        <v>11</v>
      </c>
      <c r="D532">
        <v>34169</v>
      </c>
      <c r="E532">
        <v>10428</v>
      </c>
      <c r="F532">
        <v>556</v>
      </c>
      <c r="G532" t="s">
        <v>9</v>
      </c>
      <c r="H532" t="s">
        <v>10</v>
      </c>
      <c r="I532" t="str">
        <f>IF(Table1[[#This Row],[Income]]&lt;=30000, "Low Income", IF(Table1[[#This Row],[Income]]&lt;=60000,"Medium Income","High Income"))</f>
        <v>Medium Income</v>
      </c>
      <c r="J532" s="1">
        <f>Table1[[#This Row],[LoanAmount]]/Table1[[#This Row],[Income]]</f>
        <v>0.30518891392782932</v>
      </c>
    </row>
    <row r="533" spans="1:10" x14ac:dyDescent="0.3">
      <c r="A533">
        <v>638</v>
      </c>
      <c r="B533">
        <v>57</v>
      </c>
      <c r="C533" t="s">
        <v>8</v>
      </c>
      <c r="D533">
        <v>48500</v>
      </c>
      <c r="E533">
        <v>5669</v>
      </c>
      <c r="F533">
        <v>601</v>
      </c>
      <c r="G533" t="s">
        <v>9</v>
      </c>
      <c r="H533" t="s">
        <v>10</v>
      </c>
      <c r="I533" t="str">
        <f>IF(Table1[[#This Row],[Income]]&lt;=30000, "Low Income", IF(Table1[[#This Row],[Income]]&lt;=60000,"Medium Income","High Income"))</f>
        <v>Medium Income</v>
      </c>
      <c r="J533" s="1">
        <f>Table1[[#This Row],[LoanAmount]]/Table1[[#This Row],[Income]]</f>
        <v>0.11688659793814433</v>
      </c>
    </row>
    <row r="534" spans="1:10" x14ac:dyDescent="0.3">
      <c r="A534">
        <v>639</v>
      </c>
      <c r="B534">
        <v>30</v>
      </c>
      <c r="C534" t="s">
        <v>8</v>
      </c>
      <c r="D534">
        <v>67877</v>
      </c>
      <c r="E534">
        <v>13336</v>
      </c>
      <c r="F534">
        <v>416</v>
      </c>
      <c r="G534" t="s">
        <v>9</v>
      </c>
      <c r="H534" t="s">
        <v>10</v>
      </c>
      <c r="I534" t="str">
        <f>IF(Table1[[#This Row],[Income]]&lt;=30000, "Low Income", IF(Table1[[#This Row],[Income]]&lt;=60000,"Medium Income","High Income"))</f>
        <v>High Income</v>
      </c>
      <c r="J534" s="1">
        <f>Table1[[#This Row],[LoanAmount]]/Table1[[#This Row],[Income]]</f>
        <v>0.19647303210218484</v>
      </c>
    </row>
    <row r="535" spans="1:10" x14ac:dyDescent="0.3">
      <c r="A535">
        <v>642</v>
      </c>
      <c r="B535">
        <v>37</v>
      </c>
      <c r="C535" t="s">
        <v>11</v>
      </c>
      <c r="D535">
        <v>48500</v>
      </c>
      <c r="E535">
        <v>8446</v>
      </c>
      <c r="F535">
        <v>457</v>
      </c>
      <c r="G535" t="s">
        <v>9</v>
      </c>
      <c r="H535" t="s">
        <v>10</v>
      </c>
      <c r="I535" t="str">
        <f>IF(Table1[[#This Row],[Income]]&lt;=30000, "Low Income", IF(Table1[[#This Row],[Income]]&lt;=60000,"Medium Income","High Income"))</f>
        <v>Medium Income</v>
      </c>
      <c r="J535" s="1">
        <f>Table1[[#This Row],[LoanAmount]]/Table1[[#This Row],[Income]]</f>
        <v>0.17414432989690723</v>
      </c>
    </row>
    <row r="536" spans="1:10" x14ac:dyDescent="0.3">
      <c r="A536">
        <v>643</v>
      </c>
      <c r="B536">
        <v>41</v>
      </c>
      <c r="C536" t="s">
        <v>11</v>
      </c>
      <c r="D536">
        <v>37641</v>
      </c>
      <c r="E536">
        <v>18815</v>
      </c>
      <c r="F536">
        <v>724</v>
      </c>
      <c r="G536" t="s">
        <v>9</v>
      </c>
      <c r="H536" t="s">
        <v>13</v>
      </c>
      <c r="I536" t="str">
        <f>IF(Table1[[#This Row],[Income]]&lt;=30000, "Low Income", IF(Table1[[#This Row],[Income]]&lt;=60000,"Medium Income","High Income"))</f>
        <v>Medium Income</v>
      </c>
      <c r="J536" s="1">
        <f>Table1[[#This Row],[LoanAmount]]/Table1[[#This Row],[Income]]</f>
        <v>0.49985388273425252</v>
      </c>
    </row>
    <row r="537" spans="1:10" x14ac:dyDescent="0.3">
      <c r="A537">
        <v>645</v>
      </c>
      <c r="B537">
        <v>29</v>
      </c>
      <c r="C537" t="s">
        <v>11</v>
      </c>
      <c r="D537">
        <v>73945</v>
      </c>
      <c r="E537">
        <v>8461</v>
      </c>
      <c r="F537">
        <v>717</v>
      </c>
      <c r="G537" t="s">
        <v>12</v>
      </c>
      <c r="H537" t="s">
        <v>13</v>
      </c>
      <c r="I537" t="str">
        <f>IF(Table1[[#This Row],[Income]]&lt;=30000, "Low Income", IF(Table1[[#This Row],[Income]]&lt;=60000,"Medium Income","High Income"))</f>
        <v>High Income</v>
      </c>
      <c r="J537" s="1">
        <f>Table1[[#This Row],[LoanAmount]]/Table1[[#This Row],[Income]]</f>
        <v>0.11442288187166137</v>
      </c>
    </row>
    <row r="538" spans="1:10" x14ac:dyDescent="0.3">
      <c r="A538">
        <v>646</v>
      </c>
      <c r="B538">
        <v>21</v>
      </c>
      <c r="C538" t="s">
        <v>11</v>
      </c>
      <c r="D538">
        <v>33792</v>
      </c>
      <c r="E538">
        <v>2819</v>
      </c>
      <c r="F538">
        <v>568</v>
      </c>
      <c r="G538" t="s">
        <v>9</v>
      </c>
      <c r="H538" t="s">
        <v>10</v>
      </c>
      <c r="I538" t="str">
        <f>IF(Table1[[#This Row],[Income]]&lt;=30000, "Low Income", IF(Table1[[#This Row],[Income]]&lt;=60000,"Medium Income","High Income"))</f>
        <v>Medium Income</v>
      </c>
      <c r="J538" s="1">
        <f>Table1[[#This Row],[LoanAmount]]/Table1[[#This Row],[Income]]</f>
        <v>8.342211174242424E-2</v>
      </c>
    </row>
    <row r="539" spans="1:10" x14ac:dyDescent="0.3">
      <c r="A539">
        <v>648</v>
      </c>
      <c r="B539">
        <v>24</v>
      </c>
      <c r="C539" t="s">
        <v>11</v>
      </c>
      <c r="D539">
        <v>50585</v>
      </c>
      <c r="E539">
        <v>14749</v>
      </c>
      <c r="F539">
        <v>824</v>
      </c>
      <c r="G539" t="s">
        <v>12</v>
      </c>
      <c r="H539" t="s">
        <v>14</v>
      </c>
      <c r="I539" t="str">
        <f>IF(Table1[[#This Row],[Income]]&lt;=30000, "Low Income", IF(Table1[[#This Row],[Income]]&lt;=60000,"Medium Income","High Income"))</f>
        <v>Medium Income</v>
      </c>
      <c r="J539" s="1">
        <f>Table1[[#This Row],[LoanAmount]]/Table1[[#This Row],[Income]]</f>
        <v>0.29156864683206485</v>
      </c>
    </row>
    <row r="540" spans="1:10" x14ac:dyDescent="0.3">
      <c r="A540">
        <v>649</v>
      </c>
      <c r="B540">
        <v>21</v>
      </c>
      <c r="C540" t="s">
        <v>11</v>
      </c>
      <c r="D540">
        <v>45682</v>
      </c>
      <c r="E540">
        <v>18514</v>
      </c>
      <c r="F540">
        <v>832</v>
      </c>
      <c r="G540" t="s">
        <v>9</v>
      </c>
      <c r="H540" t="s">
        <v>14</v>
      </c>
      <c r="I540" t="str">
        <f>IF(Table1[[#This Row],[Income]]&lt;=30000, "Low Income", IF(Table1[[#This Row],[Income]]&lt;=60000,"Medium Income","High Income"))</f>
        <v>Medium Income</v>
      </c>
      <c r="J540" s="1">
        <f>Table1[[#This Row],[LoanAmount]]/Table1[[#This Row],[Income]]</f>
        <v>0.40527997898515827</v>
      </c>
    </row>
    <row r="541" spans="1:10" x14ac:dyDescent="0.3">
      <c r="A541">
        <v>650</v>
      </c>
      <c r="B541">
        <v>52</v>
      </c>
      <c r="C541" t="s">
        <v>11</v>
      </c>
      <c r="D541">
        <v>62864</v>
      </c>
      <c r="E541">
        <v>3658</v>
      </c>
      <c r="F541">
        <v>618</v>
      </c>
      <c r="G541" t="s">
        <v>9</v>
      </c>
      <c r="H541" t="s">
        <v>10</v>
      </c>
      <c r="I541" t="str">
        <f>IF(Table1[[#This Row],[Income]]&lt;=30000, "Low Income", IF(Table1[[#This Row],[Income]]&lt;=60000,"Medium Income","High Income"))</f>
        <v>High Income</v>
      </c>
      <c r="J541" s="1">
        <f>Table1[[#This Row],[LoanAmount]]/Table1[[#This Row],[Income]]</f>
        <v>5.818910664291168E-2</v>
      </c>
    </row>
    <row r="542" spans="1:10" x14ac:dyDescent="0.3">
      <c r="A542">
        <v>651</v>
      </c>
      <c r="B542">
        <v>54</v>
      </c>
      <c r="C542" t="s">
        <v>8</v>
      </c>
      <c r="D542">
        <v>79456</v>
      </c>
      <c r="E542">
        <v>4500</v>
      </c>
      <c r="F542">
        <v>576</v>
      </c>
      <c r="G542" t="s">
        <v>9</v>
      </c>
      <c r="H542" t="s">
        <v>10</v>
      </c>
      <c r="I542" t="str">
        <f>IF(Table1[[#This Row],[Income]]&lt;=30000, "Low Income", IF(Table1[[#This Row],[Income]]&lt;=60000,"Medium Income","High Income"))</f>
        <v>High Income</v>
      </c>
      <c r="J542" s="1">
        <f>Table1[[#This Row],[LoanAmount]]/Table1[[#This Row],[Income]]</f>
        <v>5.6635118807893674E-2</v>
      </c>
    </row>
    <row r="543" spans="1:10" x14ac:dyDescent="0.3">
      <c r="A543">
        <v>652</v>
      </c>
      <c r="B543">
        <v>48</v>
      </c>
      <c r="C543" t="s">
        <v>8</v>
      </c>
      <c r="D543">
        <v>33880</v>
      </c>
      <c r="E543">
        <v>3120</v>
      </c>
      <c r="F543">
        <v>603</v>
      </c>
      <c r="G543" t="s">
        <v>9</v>
      </c>
      <c r="H543" t="s">
        <v>10</v>
      </c>
      <c r="I543" t="str">
        <f>IF(Table1[[#This Row],[Income]]&lt;=30000, "Low Income", IF(Table1[[#This Row],[Income]]&lt;=60000,"Medium Income","High Income"))</f>
        <v>Medium Income</v>
      </c>
      <c r="J543" s="1">
        <f>Table1[[#This Row],[LoanAmount]]/Table1[[#This Row],[Income]]</f>
        <v>9.2089728453364814E-2</v>
      </c>
    </row>
    <row r="544" spans="1:10" x14ac:dyDescent="0.3">
      <c r="A544">
        <v>653</v>
      </c>
      <c r="B544">
        <v>51</v>
      </c>
      <c r="C544" t="s">
        <v>11</v>
      </c>
      <c r="D544">
        <v>70114</v>
      </c>
      <c r="E544">
        <v>5020</v>
      </c>
      <c r="F544">
        <v>470</v>
      </c>
      <c r="G544" t="s">
        <v>9</v>
      </c>
      <c r="H544" t="s">
        <v>10</v>
      </c>
      <c r="I544" t="str">
        <f>IF(Table1[[#This Row],[Income]]&lt;=30000, "Low Income", IF(Table1[[#This Row],[Income]]&lt;=60000,"Medium Income","High Income"))</f>
        <v>High Income</v>
      </c>
      <c r="J544" s="1">
        <f>Table1[[#This Row],[LoanAmount]]/Table1[[#This Row],[Income]]</f>
        <v>7.1597683772142512E-2</v>
      </c>
    </row>
    <row r="545" spans="1:10" x14ac:dyDescent="0.3">
      <c r="A545">
        <v>655</v>
      </c>
      <c r="B545">
        <v>59</v>
      </c>
      <c r="C545" t="s">
        <v>8</v>
      </c>
      <c r="D545">
        <v>53067</v>
      </c>
      <c r="E545">
        <v>4259</v>
      </c>
      <c r="F545">
        <v>665</v>
      </c>
      <c r="G545" t="s">
        <v>9</v>
      </c>
      <c r="H545" t="s">
        <v>13</v>
      </c>
      <c r="I545" t="str">
        <f>IF(Table1[[#This Row],[Income]]&lt;=30000, "Low Income", IF(Table1[[#This Row],[Income]]&lt;=60000,"Medium Income","High Income"))</f>
        <v>Medium Income</v>
      </c>
      <c r="J545" s="1">
        <f>Table1[[#This Row],[LoanAmount]]/Table1[[#This Row],[Income]]</f>
        <v>8.0257033561346974E-2</v>
      </c>
    </row>
    <row r="546" spans="1:10" x14ac:dyDescent="0.3">
      <c r="A546">
        <v>657</v>
      </c>
      <c r="B546">
        <v>54</v>
      </c>
      <c r="C546" t="s">
        <v>11</v>
      </c>
      <c r="D546">
        <v>71726</v>
      </c>
      <c r="E546">
        <v>2823</v>
      </c>
      <c r="F546">
        <v>744</v>
      </c>
      <c r="G546" t="s">
        <v>12</v>
      </c>
      <c r="H546" t="s">
        <v>13</v>
      </c>
      <c r="I546" t="str">
        <f>IF(Table1[[#This Row],[Income]]&lt;=30000, "Low Income", IF(Table1[[#This Row],[Income]]&lt;=60000,"Medium Income","High Income"))</f>
        <v>High Income</v>
      </c>
      <c r="J546" s="1">
        <f>Table1[[#This Row],[LoanAmount]]/Table1[[#This Row],[Income]]</f>
        <v>3.9358112818224912E-2</v>
      </c>
    </row>
    <row r="547" spans="1:10" x14ac:dyDescent="0.3">
      <c r="A547">
        <v>658</v>
      </c>
      <c r="B547">
        <v>23</v>
      </c>
      <c r="C547" t="s">
        <v>11</v>
      </c>
      <c r="D547">
        <v>33073</v>
      </c>
      <c r="E547">
        <v>18858</v>
      </c>
      <c r="F547">
        <v>690</v>
      </c>
      <c r="G547" t="s">
        <v>9</v>
      </c>
      <c r="H547" t="s">
        <v>13</v>
      </c>
      <c r="I547" t="str">
        <f>IF(Table1[[#This Row],[Income]]&lt;=30000, "Low Income", IF(Table1[[#This Row],[Income]]&lt;=60000,"Medium Income","High Income"))</f>
        <v>Medium Income</v>
      </c>
      <c r="J547" s="1">
        <f>Table1[[#This Row],[LoanAmount]]/Table1[[#This Row],[Income]]</f>
        <v>0.57019320896199321</v>
      </c>
    </row>
    <row r="548" spans="1:10" x14ac:dyDescent="0.3">
      <c r="A548">
        <v>659</v>
      </c>
      <c r="B548">
        <v>32</v>
      </c>
      <c r="C548" t="s">
        <v>11</v>
      </c>
      <c r="D548">
        <v>51035</v>
      </c>
      <c r="E548">
        <v>19626</v>
      </c>
      <c r="F548">
        <v>607</v>
      </c>
      <c r="G548" t="s">
        <v>9</v>
      </c>
      <c r="H548" t="s">
        <v>10</v>
      </c>
      <c r="I548" t="str">
        <f>IF(Table1[[#This Row],[Income]]&lt;=30000, "Low Income", IF(Table1[[#This Row],[Income]]&lt;=60000,"Medium Income","High Income"))</f>
        <v>Medium Income</v>
      </c>
      <c r="J548" s="1">
        <f>Table1[[#This Row],[LoanAmount]]/Table1[[#This Row],[Income]]</f>
        <v>0.38455961594983834</v>
      </c>
    </row>
    <row r="549" spans="1:10" x14ac:dyDescent="0.3">
      <c r="A549">
        <v>660</v>
      </c>
      <c r="B549">
        <v>21</v>
      </c>
      <c r="C549" t="s">
        <v>11</v>
      </c>
      <c r="D549">
        <v>79977</v>
      </c>
      <c r="E549">
        <v>14467</v>
      </c>
      <c r="F549">
        <v>401</v>
      </c>
      <c r="G549" t="s">
        <v>9</v>
      </c>
      <c r="H549" t="s">
        <v>10</v>
      </c>
      <c r="I549" t="str">
        <f>IF(Table1[[#This Row],[Income]]&lt;=30000, "Low Income", IF(Table1[[#This Row],[Income]]&lt;=60000,"Medium Income","High Income"))</f>
        <v>High Income</v>
      </c>
      <c r="J549" s="1">
        <f>Table1[[#This Row],[LoanAmount]]/Table1[[#This Row],[Income]]</f>
        <v>0.18088950573289822</v>
      </c>
    </row>
    <row r="550" spans="1:10" x14ac:dyDescent="0.3">
      <c r="A550">
        <v>661</v>
      </c>
      <c r="B550">
        <v>25</v>
      </c>
      <c r="C550" t="s">
        <v>8</v>
      </c>
      <c r="D550">
        <v>52174</v>
      </c>
      <c r="E550">
        <v>7990</v>
      </c>
      <c r="F550">
        <v>523</v>
      </c>
      <c r="G550" t="s">
        <v>9</v>
      </c>
      <c r="H550" t="s">
        <v>10</v>
      </c>
      <c r="I550" t="str">
        <f>IF(Table1[[#This Row],[Income]]&lt;=30000, "Low Income", IF(Table1[[#This Row],[Income]]&lt;=60000,"Medium Income","High Income"))</f>
        <v>Medium Income</v>
      </c>
      <c r="J550" s="1">
        <f>Table1[[#This Row],[LoanAmount]]/Table1[[#This Row],[Income]]</f>
        <v>0.15314141143098095</v>
      </c>
    </row>
    <row r="551" spans="1:10" x14ac:dyDescent="0.3">
      <c r="A551">
        <v>662</v>
      </c>
      <c r="B551">
        <v>50</v>
      </c>
      <c r="C551" t="s">
        <v>11</v>
      </c>
      <c r="D551">
        <v>39837</v>
      </c>
      <c r="E551">
        <v>4134</v>
      </c>
      <c r="F551">
        <v>679</v>
      </c>
      <c r="G551" t="s">
        <v>9</v>
      </c>
      <c r="H551" t="s">
        <v>13</v>
      </c>
      <c r="I551" t="str">
        <f>IF(Table1[[#This Row],[Income]]&lt;=30000, "Low Income", IF(Table1[[#This Row],[Income]]&lt;=60000,"Medium Income","High Income"))</f>
        <v>Medium Income</v>
      </c>
      <c r="J551" s="1">
        <f>Table1[[#This Row],[LoanAmount]]/Table1[[#This Row],[Income]]</f>
        <v>0.10377287446343851</v>
      </c>
    </row>
    <row r="552" spans="1:10" x14ac:dyDescent="0.3">
      <c r="A552">
        <v>663</v>
      </c>
      <c r="B552">
        <v>50</v>
      </c>
      <c r="C552" t="s">
        <v>11</v>
      </c>
      <c r="D552">
        <v>32826</v>
      </c>
      <c r="E552">
        <v>19454</v>
      </c>
      <c r="F552">
        <v>473</v>
      </c>
      <c r="G552" t="s">
        <v>9</v>
      </c>
      <c r="H552" t="s">
        <v>10</v>
      </c>
      <c r="I552" t="str">
        <f>IF(Table1[[#This Row],[Income]]&lt;=30000, "Low Income", IF(Table1[[#This Row],[Income]]&lt;=60000,"Medium Income","High Income"))</f>
        <v>Medium Income</v>
      </c>
      <c r="J552" s="1">
        <f>Table1[[#This Row],[LoanAmount]]/Table1[[#This Row],[Income]]</f>
        <v>0.59263998050325961</v>
      </c>
    </row>
    <row r="553" spans="1:10" x14ac:dyDescent="0.3">
      <c r="A553">
        <v>664</v>
      </c>
      <c r="B553">
        <v>37</v>
      </c>
      <c r="C553" t="s">
        <v>11</v>
      </c>
      <c r="D553">
        <v>39981</v>
      </c>
      <c r="E553">
        <v>17743</v>
      </c>
      <c r="F553">
        <v>565</v>
      </c>
      <c r="G553" t="s">
        <v>9</v>
      </c>
      <c r="H553" t="s">
        <v>10</v>
      </c>
      <c r="I553" t="str">
        <f>IF(Table1[[#This Row],[Income]]&lt;=30000, "Low Income", IF(Table1[[#This Row],[Income]]&lt;=60000,"Medium Income","High Income"))</f>
        <v>Medium Income</v>
      </c>
      <c r="J553" s="1">
        <f>Table1[[#This Row],[LoanAmount]]/Table1[[#This Row],[Income]]</f>
        <v>0.44378579825417075</v>
      </c>
    </row>
    <row r="554" spans="1:10" x14ac:dyDescent="0.3">
      <c r="A554">
        <v>665</v>
      </c>
      <c r="B554">
        <v>43</v>
      </c>
      <c r="C554" t="s">
        <v>11</v>
      </c>
      <c r="D554">
        <v>25382</v>
      </c>
      <c r="E554">
        <v>16434</v>
      </c>
      <c r="F554">
        <v>421</v>
      </c>
      <c r="G554" t="s">
        <v>9</v>
      </c>
      <c r="H554" t="s">
        <v>10</v>
      </c>
      <c r="I554" t="str">
        <f>IF(Table1[[#This Row],[Income]]&lt;=30000, "Low Income", IF(Table1[[#This Row],[Income]]&lt;=60000,"Medium Income","High Income"))</f>
        <v>Low Income</v>
      </c>
      <c r="J554" s="1">
        <f>Table1[[#This Row],[LoanAmount]]/Table1[[#This Row],[Income]]</f>
        <v>0.64746670869119849</v>
      </c>
    </row>
    <row r="555" spans="1:10" x14ac:dyDescent="0.3">
      <c r="A555">
        <v>668</v>
      </c>
      <c r="B555">
        <v>41</v>
      </c>
      <c r="C555" t="s">
        <v>8</v>
      </c>
      <c r="D555">
        <v>79612</v>
      </c>
      <c r="E555">
        <v>17378</v>
      </c>
      <c r="F555">
        <v>838</v>
      </c>
      <c r="G555" t="s">
        <v>12</v>
      </c>
      <c r="H555" t="s">
        <v>14</v>
      </c>
      <c r="I555" t="str">
        <f>IF(Table1[[#This Row],[Income]]&lt;=30000, "Low Income", IF(Table1[[#This Row],[Income]]&lt;=60000,"Medium Income","High Income"))</f>
        <v>High Income</v>
      </c>
      <c r="J555" s="1">
        <f>Table1[[#This Row],[LoanAmount]]/Table1[[#This Row],[Income]]</f>
        <v>0.21828367582776464</v>
      </c>
    </row>
    <row r="556" spans="1:10" x14ac:dyDescent="0.3">
      <c r="A556">
        <v>669</v>
      </c>
      <c r="B556">
        <v>34</v>
      </c>
      <c r="C556" t="s">
        <v>11</v>
      </c>
      <c r="D556">
        <v>39819</v>
      </c>
      <c r="E556">
        <v>2141</v>
      </c>
      <c r="F556">
        <v>694</v>
      </c>
      <c r="G556" t="s">
        <v>12</v>
      </c>
      <c r="H556" t="s">
        <v>13</v>
      </c>
      <c r="I556" t="str">
        <f>IF(Table1[[#This Row],[Income]]&lt;=30000, "Low Income", IF(Table1[[#This Row],[Income]]&lt;=60000,"Medium Income","High Income"))</f>
        <v>Medium Income</v>
      </c>
      <c r="J556" s="1">
        <f>Table1[[#This Row],[LoanAmount]]/Table1[[#This Row],[Income]]</f>
        <v>5.3768301564579721E-2</v>
      </c>
    </row>
    <row r="557" spans="1:10" x14ac:dyDescent="0.3">
      <c r="A557">
        <v>671</v>
      </c>
      <c r="B557">
        <v>31</v>
      </c>
      <c r="C557" t="s">
        <v>8</v>
      </c>
      <c r="D557">
        <v>51875</v>
      </c>
      <c r="E557">
        <v>11135</v>
      </c>
      <c r="F557">
        <v>556</v>
      </c>
      <c r="G557" t="s">
        <v>9</v>
      </c>
      <c r="H557" t="s">
        <v>10</v>
      </c>
      <c r="I557" t="str">
        <f>IF(Table1[[#This Row],[Income]]&lt;=30000, "Low Income", IF(Table1[[#This Row],[Income]]&lt;=60000,"Medium Income","High Income"))</f>
        <v>Medium Income</v>
      </c>
      <c r="J557" s="1">
        <f>Table1[[#This Row],[LoanAmount]]/Table1[[#This Row],[Income]]</f>
        <v>0.21465060240963854</v>
      </c>
    </row>
    <row r="558" spans="1:10" x14ac:dyDescent="0.3">
      <c r="A558">
        <v>672</v>
      </c>
      <c r="B558">
        <v>59</v>
      </c>
      <c r="C558" t="s">
        <v>11</v>
      </c>
      <c r="D558">
        <v>46982</v>
      </c>
      <c r="E558">
        <v>13966</v>
      </c>
      <c r="F558">
        <v>629</v>
      </c>
      <c r="G558" t="s">
        <v>9</v>
      </c>
      <c r="H558" t="s">
        <v>10</v>
      </c>
      <c r="I558" t="str">
        <f>IF(Table1[[#This Row],[Income]]&lt;=30000, "Low Income", IF(Table1[[#This Row],[Income]]&lt;=60000,"Medium Income","High Income"))</f>
        <v>Medium Income</v>
      </c>
      <c r="J558" s="1">
        <f>Table1[[#This Row],[LoanAmount]]/Table1[[#This Row],[Income]]</f>
        <v>0.29726278149078372</v>
      </c>
    </row>
    <row r="559" spans="1:10" x14ac:dyDescent="0.3">
      <c r="A559">
        <v>673</v>
      </c>
      <c r="B559">
        <v>58</v>
      </c>
      <c r="C559" t="s">
        <v>11</v>
      </c>
      <c r="D559">
        <v>48328</v>
      </c>
      <c r="E559">
        <v>4361</v>
      </c>
      <c r="F559">
        <v>419</v>
      </c>
      <c r="G559" t="s">
        <v>9</v>
      </c>
      <c r="H559" t="s">
        <v>10</v>
      </c>
      <c r="I559" t="str">
        <f>IF(Table1[[#This Row],[Income]]&lt;=30000, "Low Income", IF(Table1[[#This Row],[Income]]&lt;=60000,"Medium Income","High Income"))</f>
        <v>Medium Income</v>
      </c>
      <c r="J559" s="1">
        <f>Table1[[#This Row],[LoanAmount]]/Table1[[#This Row],[Income]]</f>
        <v>9.0237543453070682E-2</v>
      </c>
    </row>
    <row r="560" spans="1:10" x14ac:dyDescent="0.3">
      <c r="A560">
        <v>674</v>
      </c>
      <c r="B560">
        <v>54</v>
      </c>
      <c r="C560" t="s">
        <v>8</v>
      </c>
      <c r="D560">
        <v>27329</v>
      </c>
      <c r="E560">
        <v>8835</v>
      </c>
      <c r="F560">
        <v>440</v>
      </c>
      <c r="G560" t="s">
        <v>9</v>
      </c>
      <c r="H560" t="s">
        <v>10</v>
      </c>
      <c r="I560" t="str">
        <f>IF(Table1[[#This Row],[Income]]&lt;=30000, "Low Income", IF(Table1[[#This Row],[Income]]&lt;=60000,"Medium Income","High Income"))</f>
        <v>Low Income</v>
      </c>
      <c r="J560" s="1">
        <f>Table1[[#This Row],[LoanAmount]]/Table1[[#This Row],[Income]]</f>
        <v>0.32328295949357827</v>
      </c>
    </row>
    <row r="561" spans="1:10" x14ac:dyDescent="0.3">
      <c r="A561">
        <v>675</v>
      </c>
      <c r="B561">
        <v>58</v>
      </c>
      <c r="C561" t="s">
        <v>8</v>
      </c>
      <c r="D561">
        <v>75069</v>
      </c>
      <c r="E561">
        <v>12172</v>
      </c>
      <c r="F561">
        <v>837</v>
      </c>
      <c r="G561" t="s">
        <v>12</v>
      </c>
      <c r="H561" t="s">
        <v>14</v>
      </c>
      <c r="I561" t="str">
        <f>IF(Table1[[#This Row],[Income]]&lt;=30000, "Low Income", IF(Table1[[#This Row],[Income]]&lt;=60000,"Medium Income","High Income"))</f>
        <v>High Income</v>
      </c>
      <c r="J561" s="1">
        <f>Table1[[#This Row],[LoanAmount]]/Table1[[#This Row],[Income]]</f>
        <v>0.16214416070548429</v>
      </c>
    </row>
    <row r="562" spans="1:10" x14ac:dyDescent="0.3">
      <c r="A562">
        <v>676</v>
      </c>
      <c r="B562">
        <v>54</v>
      </c>
      <c r="C562" t="s">
        <v>8</v>
      </c>
      <c r="D562">
        <v>40169</v>
      </c>
      <c r="E562">
        <v>17390</v>
      </c>
      <c r="F562">
        <v>547</v>
      </c>
      <c r="G562" t="s">
        <v>9</v>
      </c>
      <c r="H562" t="s">
        <v>10</v>
      </c>
      <c r="I562" t="str">
        <f>IF(Table1[[#This Row],[Income]]&lt;=30000, "Low Income", IF(Table1[[#This Row],[Income]]&lt;=60000,"Medium Income","High Income"))</f>
        <v>Medium Income</v>
      </c>
      <c r="J562" s="1">
        <f>Table1[[#This Row],[LoanAmount]]/Table1[[#This Row],[Income]]</f>
        <v>0.43292090915880405</v>
      </c>
    </row>
    <row r="563" spans="1:10" x14ac:dyDescent="0.3">
      <c r="A563">
        <v>677</v>
      </c>
      <c r="B563">
        <v>38</v>
      </c>
      <c r="C563" t="s">
        <v>8</v>
      </c>
      <c r="D563">
        <v>36932</v>
      </c>
      <c r="E563">
        <v>4267</v>
      </c>
      <c r="F563">
        <v>507</v>
      </c>
      <c r="G563" t="s">
        <v>9</v>
      </c>
      <c r="H563" t="s">
        <v>10</v>
      </c>
      <c r="I563" t="str">
        <f>IF(Table1[[#This Row],[Income]]&lt;=30000, "Low Income", IF(Table1[[#This Row],[Income]]&lt;=60000,"Medium Income","High Income"))</f>
        <v>Medium Income</v>
      </c>
      <c r="J563" s="1">
        <f>Table1[[#This Row],[LoanAmount]]/Table1[[#This Row],[Income]]</f>
        <v>0.11553666197335644</v>
      </c>
    </row>
    <row r="564" spans="1:10" x14ac:dyDescent="0.3">
      <c r="A564">
        <v>678</v>
      </c>
      <c r="B564">
        <v>50</v>
      </c>
      <c r="C564" t="s">
        <v>11</v>
      </c>
      <c r="D564">
        <v>49594</v>
      </c>
      <c r="E564">
        <v>7564</v>
      </c>
      <c r="F564">
        <v>802</v>
      </c>
      <c r="G564" t="s">
        <v>12</v>
      </c>
      <c r="H564" t="s">
        <v>14</v>
      </c>
      <c r="I564" t="str">
        <f>IF(Table1[[#This Row],[Income]]&lt;=30000, "Low Income", IF(Table1[[#This Row],[Income]]&lt;=60000,"Medium Income","High Income"))</f>
        <v>Medium Income</v>
      </c>
      <c r="J564" s="1">
        <f>Table1[[#This Row],[LoanAmount]]/Table1[[#This Row],[Income]]</f>
        <v>0.15251844981247731</v>
      </c>
    </row>
    <row r="565" spans="1:10" x14ac:dyDescent="0.3">
      <c r="A565">
        <v>679</v>
      </c>
      <c r="B565">
        <v>35</v>
      </c>
      <c r="C565" t="s">
        <v>11</v>
      </c>
      <c r="D565">
        <v>26421</v>
      </c>
      <c r="E565">
        <v>19990</v>
      </c>
      <c r="F565">
        <v>483</v>
      </c>
      <c r="G565" t="s">
        <v>9</v>
      </c>
      <c r="H565" t="s">
        <v>10</v>
      </c>
      <c r="I565" t="str">
        <f>IF(Table1[[#This Row],[Income]]&lt;=30000, "Low Income", IF(Table1[[#This Row],[Income]]&lt;=60000,"Medium Income","High Income"))</f>
        <v>Low Income</v>
      </c>
      <c r="J565" s="1">
        <f>Table1[[#This Row],[LoanAmount]]/Table1[[#This Row],[Income]]</f>
        <v>0.75659513265962686</v>
      </c>
    </row>
    <row r="566" spans="1:10" x14ac:dyDescent="0.3">
      <c r="A566">
        <v>680</v>
      </c>
      <c r="B566">
        <v>47</v>
      </c>
      <c r="C566" t="s">
        <v>8</v>
      </c>
      <c r="D566">
        <v>75631</v>
      </c>
      <c r="E566">
        <v>12411</v>
      </c>
      <c r="F566">
        <v>766</v>
      </c>
      <c r="G566" t="s">
        <v>12</v>
      </c>
      <c r="H566" t="s">
        <v>14</v>
      </c>
      <c r="I566" t="str">
        <f>IF(Table1[[#This Row],[Income]]&lt;=30000, "Low Income", IF(Table1[[#This Row],[Income]]&lt;=60000,"Medium Income","High Income"))</f>
        <v>High Income</v>
      </c>
      <c r="J566" s="1">
        <f>Table1[[#This Row],[LoanAmount]]/Table1[[#This Row],[Income]]</f>
        <v>0.16409937723949175</v>
      </c>
    </row>
    <row r="567" spans="1:10" x14ac:dyDescent="0.3">
      <c r="A567">
        <v>681</v>
      </c>
      <c r="B567">
        <v>54</v>
      </c>
      <c r="C567" t="s">
        <v>11</v>
      </c>
      <c r="D567">
        <v>60033</v>
      </c>
      <c r="E567">
        <v>6906</v>
      </c>
      <c r="F567">
        <v>721</v>
      </c>
      <c r="G567" t="s">
        <v>12</v>
      </c>
      <c r="H567" t="s">
        <v>13</v>
      </c>
      <c r="I567" t="str">
        <f>IF(Table1[[#This Row],[Income]]&lt;=30000, "Low Income", IF(Table1[[#This Row],[Income]]&lt;=60000,"Medium Income","High Income"))</f>
        <v>High Income</v>
      </c>
      <c r="J567" s="1">
        <f>Table1[[#This Row],[LoanAmount]]/Table1[[#This Row],[Income]]</f>
        <v>0.11503672979861077</v>
      </c>
    </row>
    <row r="568" spans="1:10" x14ac:dyDescent="0.3">
      <c r="A568">
        <v>683</v>
      </c>
      <c r="B568">
        <v>53</v>
      </c>
      <c r="C568" t="s">
        <v>8</v>
      </c>
      <c r="D568">
        <v>22629</v>
      </c>
      <c r="E568">
        <v>8611</v>
      </c>
      <c r="F568">
        <v>708</v>
      </c>
      <c r="G568" t="s">
        <v>9</v>
      </c>
      <c r="H568" t="s">
        <v>13</v>
      </c>
      <c r="I568" t="str">
        <f>IF(Table1[[#This Row],[Income]]&lt;=30000, "Low Income", IF(Table1[[#This Row],[Income]]&lt;=60000,"Medium Income","High Income"))</f>
        <v>Low Income</v>
      </c>
      <c r="J568" s="1">
        <f>Table1[[#This Row],[LoanAmount]]/Table1[[#This Row],[Income]]</f>
        <v>0.38052940916523048</v>
      </c>
    </row>
    <row r="569" spans="1:10" x14ac:dyDescent="0.3">
      <c r="A569">
        <v>685</v>
      </c>
      <c r="B569">
        <v>35</v>
      </c>
      <c r="C569" t="s">
        <v>8</v>
      </c>
      <c r="D569">
        <v>67290</v>
      </c>
      <c r="E569">
        <v>3011</v>
      </c>
      <c r="F569">
        <v>805</v>
      </c>
      <c r="G569" t="s">
        <v>12</v>
      </c>
      <c r="H569" t="s">
        <v>14</v>
      </c>
      <c r="I569" t="str">
        <f>IF(Table1[[#This Row],[Income]]&lt;=30000, "Low Income", IF(Table1[[#This Row],[Income]]&lt;=60000,"Medium Income","High Income"))</f>
        <v>High Income</v>
      </c>
      <c r="J569" s="1">
        <f>Table1[[#This Row],[LoanAmount]]/Table1[[#This Row],[Income]]</f>
        <v>4.4746619111309262E-2</v>
      </c>
    </row>
    <row r="570" spans="1:10" x14ac:dyDescent="0.3">
      <c r="A570">
        <v>686</v>
      </c>
      <c r="B570">
        <v>50</v>
      </c>
      <c r="C570" t="s">
        <v>11</v>
      </c>
      <c r="D570">
        <v>43495</v>
      </c>
      <c r="E570">
        <v>18826</v>
      </c>
      <c r="F570">
        <v>722</v>
      </c>
      <c r="G570" t="s">
        <v>9</v>
      </c>
      <c r="H570" t="s">
        <v>13</v>
      </c>
      <c r="I570" t="str">
        <f>IF(Table1[[#This Row],[Income]]&lt;=30000, "Low Income", IF(Table1[[#This Row],[Income]]&lt;=60000,"Medium Income","High Income"))</f>
        <v>Medium Income</v>
      </c>
      <c r="J570" s="1">
        <f>Table1[[#This Row],[LoanAmount]]/Table1[[#This Row],[Income]]</f>
        <v>0.43283135992642835</v>
      </c>
    </row>
    <row r="571" spans="1:10" x14ac:dyDescent="0.3">
      <c r="A571">
        <v>688</v>
      </c>
      <c r="B571">
        <v>25</v>
      </c>
      <c r="C571" t="s">
        <v>11</v>
      </c>
      <c r="D571">
        <v>44619</v>
      </c>
      <c r="E571">
        <v>14790</v>
      </c>
      <c r="F571">
        <v>606</v>
      </c>
      <c r="G571" t="s">
        <v>9</v>
      </c>
      <c r="H571" t="s">
        <v>10</v>
      </c>
      <c r="I571" t="str">
        <f>IF(Table1[[#This Row],[Income]]&lt;=30000, "Low Income", IF(Table1[[#This Row],[Income]]&lt;=60000,"Medium Income","High Income"))</f>
        <v>Medium Income</v>
      </c>
      <c r="J571" s="1">
        <f>Table1[[#This Row],[LoanAmount]]/Table1[[#This Row],[Income]]</f>
        <v>0.33147313924561284</v>
      </c>
    </row>
    <row r="572" spans="1:10" x14ac:dyDescent="0.3">
      <c r="A572">
        <v>690</v>
      </c>
      <c r="B572">
        <v>24</v>
      </c>
      <c r="C572" t="s">
        <v>8</v>
      </c>
      <c r="D572">
        <v>23264</v>
      </c>
      <c r="E572">
        <v>15730</v>
      </c>
      <c r="F572">
        <v>665</v>
      </c>
      <c r="G572" t="s">
        <v>9</v>
      </c>
      <c r="H572" t="s">
        <v>13</v>
      </c>
      <c r="I572" t="str">
        <f>IF(Table1[[#This Row],[Income]]&lt;=30000, "Low Income", IF(Table1[[#This Row],[Income]]&lt;=60000,"Medium Income","High Income"))</f>
        <v>Low Income</v>
      </c>
      <c r="J572" s="1">
        <f>Table1[[#This Row],[LoanAmount]]/Table1[[#This Row],[Income]]</f>
        <v>0.67615199449793673</v>
      </c>
    </row>
    <row r="573" spans="1:10" x14ac:dyDescent="0.3">
      <c r="A573">
        <v>691</v>
      </c>
      <c r="B573">
        <v>30</v>
      </c>
      <c r="C573" t="s">
        <v>11</v>
      </c>
      <c r="D573">
        <v>27686</v>
      </c>
      <c r="E573">
        <v>12120</v>
      </c>
      <c r="F573">
        <v>472</v>
      </c>
      <c r="G573" t="s">
        <v>9</v>
      </c>
      <c r="H573" t="s">
        <v>10</v>
      </c>
      <c r="I573" t="str">
        <f>IF(Table1[[#This Row],[Income]]&lt;=30000, "Low Income", IF(Table1[[#This Row],[Income]]&lt;=60000,"Medium Income","High Income"))</f>
        <v>Low Income</v>
      </c>
      <c r="J573" s="1">
        <f>Table1[[#This Row],[LoanAmount]]/Table1[[#This Row],[Income]]</f>
        <v>0.4377663801199162</v>
      </c>
    </row>
    <row r="574" spans="1:10" x14ac:dyDescent="0.3">
      <c r="A574">
        <v>692</v>
      </c>
      <c r="B574">
        <v>37</v>
      </c>
      <c r="C574" t="s">
        <v>8</v>
      </c>
      <c r="D574">
        <v>61484</v>
      </c>
      <c r="E574">
        <v>19213</v>
      </c>
      <c r="F574">
        <v>751</v>
      </c>
      <c r="G574" t="s">
        <v>12</v>
      </c>
      <c r="H574" t="s">
        <v>14</v>
      </c>
      <c r="I574" t="str">
        <f>IF(Table1[[#This Row],[Income]]&lt;=30000, "Low Income", IF(Table1[[#This Row],[Income]]&lt;=60000,"Medium Income","High Income"))</f>
        <v>High Income</v>
      </c>
      <c r="J574" s="1">
        <f>Table1[[#This Row],[LoanAmount]]/Table1[[#This Row],[Income]]</f>
        <v>0.31248780170450852</v>
      </c>
    </row>
    <row r="575" spans="1:10" x14ac:dyDescent="0.3">
      <c r="A575">
        <v>693</v>
      </c>
      <c r="B575">
        <v>30</v>
      </c>
      <c r="C575" t="s">
        <v>8</v>
      </c>
      <c r="D575">
        <v>39226</v>
      </c>
      <c r="E575">
        <v>9767</v>
      </c>
      <c r="F575">
        <v>447</v>
      </c>
      <c r="G575" t="s">
        <v>9</v>
      </c>
      <c r="H575" t="s">
        <v>10</v>
      </c>
      <c r="I575" t="str">
        <f>IF(Table1[[#This Row],[Income]]&lt;=30000, "Low Income", IF(Table1[[#This Row],[Income]]&lt;=60000,"Medium Income","High Income"))</f>
        <v>Medium Income</v>
      </c>
      <c r="J575" s="1">
        <f>Table1[[#This Row],[LoanAmount]]/Table1[[#This Row],[Income]]</f>
        <v>0.24899301483709785</v>
      </c>
    </row>
    <row r="576" spans="1:10" x14ac:dyDescent="0.3">
      <c r="A576">
        <v>694</v>
      </c>
      <c r="B576">
        <v>37</v>
      </c>
      <c r="C576" t="s">
        <v>8</v>
      </c>
      <c r="D576">
        <v>21721</v>
      </c>
      <c r="E576">
        <v>14703</v>
      </c>
      <c r="F576">
        <v>725</v>
      </c>
      <c r="G576" t="s">
        <v>9</v>
      </c>
      <c r="H576" t="s">
        <v>13</v>
      </c>
      <c r="I576" t="str">
        <f>IF(Table1[[#This Row],[Income]]&lt;=30000, "Low Income", IF(Table1[[#This Row],[Income]]&lt;=60000,"Medium Income","High Income"))</f>
        <v>Low Income</v>
      </c>
      <c r="J576" s="1">
        <f>Table1[[#This Row],[LoanAmount]]/Table1[[#This Row],[Income]]</f>
        <v>0.67690253671562084</v>
      </c>
    </row>
    <row r="577" spans="1:10" x14ac:dyDescent="0.3">
      <c r="A577">
        <v>695</v>
      </c>
      <c r="B577">
        <v>40</v>
      </c>
      <c r="C577" t="s">
        <v>8</v>
      </c>
      <c r="D577">
        <v>71154</v>
      </c>
      <c r="E577">
        <v>1929</v>
      </c>
      <c r="F577">
        <v>632</v>
      </c>
      <c r="G577" t="s">
        <v>9</v>
      </c>
      <c r="H577" t="s">
        <v>10</v>
      </c>
      <c r="I577" t="str">
        <f>IF(Table1[[#This Row],[Income]]&lt;=30000, "Low Income", IF(Table1[[#This Row],[Income]]&lt;=60000,"Medium Income","High Income"))</f>
        <v>High Income</v>
      </c>
      <c r="J577" s="1">
        <f>Table1[[#This Row],[LoanAmount]]/Table1[[#This Row],[Income]]</f>
        <v>2.7110211653596426E-2</v>
      </c>
    </row>
    <row r="578" spans="1:10" x14ac:dyDescent="0.3">
      <c r="A578">
        <v>696</v>
      </c>
      <c r="B578">
        <v>44</v>
      </c>
      <c r="C578" t="s">
        <v>11</v>
      </c>
      <c r="D578">
        <v>35609</v>
      </c>
      <c r="E578">
        <v>12951</v>
      </c>
      <c r="F578">
        <v>842</v>
      </c>
      <c r="G578" t="s">
        <v>12</v>
      </c>
      <c r="H578" t="s">
        <v>14</v>
      </c>
      <c r="I578" t="str">
        <f>IF(Table1[[#This Row],[Income]]&lt;=30000, "Low Income", IF(Table1[[#This Row],[Income]]&lt;=60000,"Medium Income","High Income"))</f>
        <v>Medium Income</v>
      </c>
      <c r="J578" s="1">
        <f>Table1[[#This Row],[LoanAmount]]/Table1[[#This Row],[Income]]</f>
        <v>0.36370018815467997</v>
      </c>
    </row>
    <row r="579" spans="1:10" x14ac:dyDescent="0.3">
      <c r="A579">
        <v>697</v>
      </c>
      <c r="B579">
        <v>25</v>
      </c>
      <c r="C579" t="s">
        <v>11</v>
      </c>
      <c r="D579">
        <v>67130</v>
      </c>
      <c r="E579">
        <v>16845</v>
      </c>
      <c r="F579">
        <v>499</v>
      </c>
      <c r="G579" t="s">
        <v>9</v>
      </c>
      <c r="H579" t="s">
        <v>10</v>
      </c>
      <c r="I579" t="str">
        <f>IF(Table1[[#This Row],[Income]]&lt;=30000, "Low Income", IF(Table1[[#This Row],[Income]]&lt;=60000,"Medium Income","High Income"))</f>
        <v>High Income</v>
      </c>
      <c r="J579" s="1">
        <f>Table1[[#This Row],[LoanAmount]]/Table1[[#This Row],[Income]]</f>
        <v>0.250931029346045</v>
      </c>
    </row>
    <row r="580" spans="1:10" x14ac:dyDescent="0.3">
      <c r="A580">
        <v>698</v>
      </c>
      <c r="B580">
        <v>54</v>
      </c>
      <c r="C580" t="s">
        <v>8</v>
      </c>
      <c r="D580">
        <v>79977</v>
      </c>
      <c r="E580">
        <v>18438</v>
      </c>
      <c r="F580">
        <v>458</v>
      </c>
      <c r="G580" t="s">
        <v>9</v>
      </c>
      <c r="H580" t="s">
        <v>10</v>
      </c>
      <c r="I580" t="str">
        <f>IF(Table1[[#This Row],[Income]]&lt;=30000, "Low Income", IF(Table1[[#This Row],[Income]]&lt;=60000,"Medium Income","High Income"))</f>
        <v>High Income</v>
      </c>
      <c r="J580" s="1">
        <f>Table1[[#This Row],[LoanAmount]]/Table1[[#This Row],[Income]]</f>
        <v>0.23054128061817772</v>
      </c>
    </row>
    <row r="581" spans="1:10" x14ac:dyDescent="0.3">
      <c r="A581">
        <v>699</v>
      </c>
      <c r="B581">
        <v>26</v>
      </c>
      <c r="C581" t="s">
        <v>8</v>
      </c>
      <c r="D581">
        <v>22373</v>
      </c>
      <c r="E581">
        <v>16747</v>
      </c>
      <c r="F581">
        <v>657</v>
      </c>
      <c r="G581" t="s">
        <v>9</v>
      </c>
      <c r="H581" t="s">
        <v>13</v>
      </c>
      <c r="I581" t="str">
        <f>IF(Table1[[#This Row],[Income]]&lt;=30000, "Low Income", IF(Table1[[#This Row],[Income]]&lt;=60000,"Medium Income","High Income"))</f>
        <v>Low Income</v>
      </c>
      <c r="J581" s="1">
        <f>Table1[[#This Row],[LoanAmount]]/Table1[[#This Row],[Income]]</f>
        <v>0.74853618200509542</v>
      </c>
    </row>
    <row r="582" spans="1:10" x14ac:dyDescent="0.3">
      <c r="A582">
        <v>700</v>
      </c>
      <c r="B582">
        <v>22</v>
      </c>
      <c r="C582" t="s">
        <v>11</v>
      </c>
      <c r="D582">
        <v>53675</v>
      </c>
      <c r="E582">
        <v>6744</v>
      </c>
      <c r="F582">
        <v>812</v>
      </c>
      <c r="G582" t="s">
        <v>12</v>
      </c>
      <c r="H582" t="s">
        <v>14</v>
      </c>
      <c r="I582" t="str">
        <f>IF(Table1[[#This Row],[Income]]&lt;=30000, "Low Income", IF(Table1[[#This Row],[Income]]&lt;=60000,"Medium Income","High Income"))</f>
        <v>Medium Income</v>
      </c>
      <c r="J582" s="1">
        <f>Table1[[#This Row],[LoanAmount]]/Table1[[#This Row],[Income]]</f>
        <v>0.1256450861667443</v>
      </c>
    </row>
    <row r="583" spans="1:10" x14ac:dyDescent="0.3">
      <c r="A583">
        <v>702</v>
      </c>
      <c r="B583">
        <v>31</v>
      </c>
      <c r="C583" t="s">
        <v>11</v>
      </c>
      <c r="D583">
        <v>63895</v>
      </c>
      <c r="E583">
        <v>10649</v>
      </c>
      <c r="F583">
        <v>482</v>
      </c>
      <c r="G583" t="s">
        <v>9</v>
      </c>
      <c r="H583" t="s">
        <v>10</v>
      </c>
      <c r="I583" t="str">
        <f>IF(Table1[[#This Row],[Income]]&lt;=30000, "Low Income", IF(Table1[[#This Row],[Income]]&lt;=60000,"Medium Income","High Income"))</f>
        <v>High Income</v>
      </c>
      <c r="J583" s="1">
        <f>Table1[[#This Row],[LoanAmount]]/Table1[[#This Row],[Income]]</f>
        <v>0.16666405822051802</v>
      </c>
    </row>
    <row r="584" spans="1:10" x14ac:dyDescent="0.3">
      <c r="A584">
        <v>703</v>
      </c>
      <c r="B584">
        <v>43</v>
      </c>
      <c r="C584" t="s">
        <v>8</v>
      </c>
      <c r="D584">
        <v>43937</v>
      </c>
      <c r="E584">
        <v>7980</v>
      </c>
      <c r="F584">
        <v>553</v>
      </c>
      <c r="G584" t="s">
        <v>9</v>
      </c>
      <c r="H584" t="s">
        <v>10</v>
      </c>
      <c r="I584" t="str">
        <f>IF(Table1[[#This Row],[Income]]&lt;=30000, "Low Income", IF(Table1[[#This Row],[Income]]&lt;=60000,"Medium Income","High Income"))</f>
        <v>Medium Income</v>
      </c>
      <c r="J584" s="1">
        <f>Table1[[#This Row],[LoanAmount]]/Table1[[#This Row],[Income]]</f>
        <v>0.18162368846302659</v>
      </c>
    </row>
    <row r="585" spans="1:10" x14ac:dyDescent="0.3">
      <c r="A585">
        <v>704</v>
      </c>
      <c r="B585">
        <v>36</v>
      </c>
      <c r="C585" t="s">
        <v>11</v>
      </c>
      <c r="D585">
        <v>20656</v>
      </c>
      <c r="E585">
        <v>8069</v>
      </c>
      <c r="F585">
        <v>665</v>
      </c>
      <c r="G585" t="s">
        <v>9</v>
      </c>
      <c r="H585" t="s">
        <v>13</v>
      </c>
      <c r="I585" t="str">
        <f>IF(Table1[[#This Row],[Income]]&lt;=30000, "Low Income", IF(Table1[[#This Row],[Income]]&lt;=60000,"Medium Income","High Income"))</f>
        <v>Low Income</v>
      </c>
      <c r="J585" s="1">
        <f>Table1[[#This Row],[LoanAmount]]/Table1[[#This Row],[Income]]</f>
        <v>0.39063710302091403</v>
      </c>
    </row>
    <row r="586" spans="1:10" x14ac:dyDescent="0.3">
      <c r="A586">
        <v>705</v>
      </c>
      <c r="B586">
        <v>51</v>
      </c>
      <c r="C586" t="s">
        <v>8</v>
      </c>
      <c r="D586">
        <v>74329</v>
      </c>
      <c r="E586">
        <v>10591</v>
      </c>
      <c r="F586">
        <v>708</v>
      </c>
      <c r="G586" t="s">
        <v>12</v>
      </c>
      <c r="H586" t="s">
        <v>13</v>
      </c>
      <c r="I586" t="str">
        <f>IF(Table1[[#This Row],[Income]]&lt;=30000, "Low Income", IF(Table1[[#This Row],[Income]]&lt;=60000,"Medium Income","High Income"))</f>
        <v>High Income</v>
      </c>
      <c r="J586" s="1">
        <f>Table1[[#This Row],[LoanAmount]]/Table1[[#This Row],[Income]]</f>
        <v>0.14248812711054903</v>
      </c>
    </row>
    <row r="587" spans="1:10" x14ac:dyDescent="0.3">
      <c r="A587">
        <v>706</v>
      </c>
      <c r="B587">
        <v>31</v>
      </c>
      <c r="C587" t="s">
        <v>8</v>
      </c>
      <c r="D587">
        <v>23984</v>
      </c>
      <c r="E587">
        <v>1442</v>
      </c>
      <c r="F587">
        <v>478</v>
      </c>
      <c r="G587" t="s">
        <v>9</v>
      </c>
      <c r="H587" t="s">
        <v>10</v>
      </c>
      <c r="I587" t="str">
        <f>IF(Table1[[#This Row],[Income]]&lt;=30000, "Low Income", IF(Table1[[#This Row],[Income]]&lt;=60000,"Medium Income","High Income"))</f>
        <v>Low Income</v>
      </c>
      <c r="J587" s="1">
        <f>Table1[[#This Row],[LoanAmount]]/Table1[[#This Row],[Income]]</f>
        <v>6.012341561040694E-2</v>
      </c>
    </row>
    <row r="588" spans="1:10" x14ac:dyDescent="0.3">
      <c r="A588">
        <v>707</v>
      </c>
      <c r="B588">
        <v>36</v>
      </c>
      <c r="C588" t="s">
        <v>11</v>
      </c>
      <c r="D588">
        <v>78740</v>
      </c>
      <c r="E588">
        <v>5652</v>
      </c>
      <c r="F588">
        <v>714</v>
      </c>
      <c r="G588" t="s">
        <v>12</v>
      </c>
      <c r="H588" t="s">
        <v>13</v>
      </c>
      <c r="I588" t="str">
        <f>IF(Table1[[#This Row],[Income]]&lt;=30000, "Low Income", IF(Table1[[#This Row],[Income]]&lt;=60000,"Medium Income","High Income"))</f>
        <v>High Income</v>
      </c>
      <c r="J588" s="1">
        <f>Table1[[#This Row],[LoanAmount]]/Table1[[#This Row],[Income]]</f>
        <v>7.1780543561087123E-2</v>
      </c>
    </row>
    <row r="589" spans="1:10" x14ac:dyDescent="0.3">
      <c r="A589">
        <v>708</v>
      </c>
      <c r="B589">
        <v>28</v>
      </c>
      <c r="C589" t="s">
        <v>8</v>
      </c>
      <c r="D589">
        <v>79309</v>
      </c>
      <c r="E589">
        <v>10370</v>
      </c>
      <c r="F589">
        <v>549</v>
      </c>
      <c r="G589" t="s">
        <v>9</v>
      </c>
      <c r="H589" t="s">
        <v>10</v>
      </c>
      <c r="I589" t="str">
        <f>IF(Table1[[#This Row],[Income]]&lt;=30000, "Low Income", IF(Table1[[#This Row],[Income]]&lt;=60000,"Medium Income","High Income"))</f>
        <v>High Income</v>
      </c>
      <c r="J589" s="1">
        <f>Table1[[#This Row],[LoanAmount]]/Table1[[#This Row],[Income]]</f>
        <v>0.13075439105271786</v>
      </c>
    </row>
    <row r="590" spans="1:10" x14ac:dyDescent="0.3">
      <c r="A590">
        <v>709</v>
      </c>
      <c r="B590">
        <v>24</v>
      </c>
      <c r="C590" t="s">
        <v>8</v>
      </c>
      <c r="D590">
        <v>44984</v>
      </c>
      <c r="E590">
        <v>8597</v>
      </c>
      <c r="F590">
        <v>834</v>
      </c>
      <c r="G590" t="s">
        <v>12</v>
      </c>
      <c r="H590" t="s">
        <v>14</v>
      </c>
      <c r="I590" t="str">
        <f>IF(Table1[[#This Row],[Income]]&lt;=30000, "Low Income", IF(Table1[[#This Row],[Income]]&lt;=60000,"Medium Income","High Income"))</f>
        <v>Medium Income</v>
      </c>
      <c r="J590" s="1">
        <f>Table1[[#This Row],[LoanAmount]]/Table1[[#This Row],[Income]]</f>
        <v>0.19111239551840656</v>
      </c>
    </row>
    <row r="591" spans="1:10" x14ac:dyDescent="0.3">
      <c r="A591">
        <v>710</v>
      </c>
      <c r="B591">
        <v>24</v>
      </c>
      <c r="C591" t="s">
        <v>11</v>
      </c>
      <c r="D591">
        <v>68411</v>
      </c>
      <c r="E591">
        <v>15325</v>
      </c>
      <c r="F591">
        <v>447</v>
      </c>
      <c r="G591" t="s">
        <v>9</v>
      </c>
      <c r="H591" t="s">
        <v>10</v>
      </c>
      <c r="I591" t="str">
        <f>IF(Table1[[#This Row],[Income]]&lt;=30000, "Low Income", IF(Table1[[#This Row],[Income]]&lt;=60000,"Medium Income","High Income"))</f>
        <v>High Income</v>
      </c>
      <c r="J591" s="1">
        <f>Table1[[#This Row],[LoanAmount]]/Table1[[#This Row],[Income]]</f>
        <v>0.22401368201020302</v>
      </c>
    </row>
    <row r="592" spans="1:10" x14ac:dyDescent="0.3">
      <c r="A592">
        <v>711</v>
      </c>
      <c r="B592">
        <v>45</v>
      </c>
      <c r="C592" t="s">
        <v>8</v>
      </c>
      <c r="D592">
        <v>23286</v>
      </c>
      <c r="E592">
        <v>5458</v>
      </c>
      <c r="F592">
        <v>804</v>
      </c>
      <c r="G592" t="s">
        <v>9</v>
      </c>
      <c r="H592" t="s">
        <v>14</v>
      </c>
      <c r="I592" t="str">
        <f>IF(Table1[[#This Row],[Income]]&lt;=30000, "Low Income", IF(Table1[[#This Row],[Income]]&lt;=60000,"Medium Income","High Income"))</f>
        <v>Low Income</v>
      </c>
      <c r="J592" s="1">
        <f>Table1[[#This Row],[LoanAmount]]/Table1[[#This Row],[Income]]</f>
        <v>0.23438976208880874</v>
      </c>
    </row>
    <row r="593" spans="1:10" x14ac:dyDescent="0.3">
      <c r="A593">
        <v>712</v>
      </c>
      <c r="B593">
        <v>23</v>
      </c>
      <c r="C593" t="s">
        <v>11</v>
      </c>
      <c r="D593">
        <v>20901</v>
      </c>
      <c r="E593">
        <v>7591</v>
      </c>
      <c r="F593">
        <v>778</v>
      </c>
      <c r="G593" t="s">
        <v>9</v>
      </c>
      <c r="H593" t="s">
        <v>14</v>
      </c>
      <c r="I593" t="str">
        <f>IF(Table1[[#This Row],[Income]]&lt;=30000, "Low Income", IF(Table1[[#This Row],[Income]]&lt;=60000,"Medium Income","High Income"))</f>
        <v>Low Income</v>
      </c>
      <c r="J593" s="1">
        <f>Table1[[#This Row],[LoanAmount]]/Table1[[#This Row],[Income]]</f>
        <v>0.3631883641931008</v>
      </c>
    </row>
    <row r="594" spans="1:10" x14ac:dyDescent="0.3">
      <c r="A594">
        <v>714</v>
      </c>
      <c r="B594">
        <v>23</v>
      </c>
      <c r="C594" t="s">
        <v>8</v>
      </c>
      <c r="D594">
        <v>40709</v>
      </c>
      <c r="E594">
        <v>12826</v>
      </c>
      <c r="F594">
        <v>677</v>
      </c>
      <c r="G594" t="s">
        <v>9</v>
      </c>
      <c r="H594" t="s">
        <v>13</v>
      </c>
      <c r="I594" t="str">
        <f>IF(Table1[[#This Row],[Income]]&lt;=30000, "Low Income", IF(Table1[[#This Row],[Income]]&lt;=60000,"Medium Income","High Income"))</f>
        <v>Medium Income</v>
      </c>
      <c r="J594" s="1">
        <f>Table1[[#This Row],[LoanAmount]]/Table1[[#This Row],[Income]]</f>
        <v>0.31506546463926893</v>
      </c>
    </row>
    <row r="595" spans="1:10" x14ac:dyDescent="0.3">
      <c r="A595">
        <v>715</v>
      </c>
      <c r="B595">
        <v>47</v>
      </c>
      <c r="C595" t="s">
        <v>8</v>
      </c>
      <c r="D595">
        <v>46055</v>
      </c>
      <c r="E595">
        <v>19693</v>
      </c>
      <c r="F595">
        <v>755</v>
      </c>
      <c r="G595" t="s">
        <v>9</v>
      </c>
      <c r="H595" t="s">
        <v>14</v>
      </c>
      <c r="I595" t="str">
        <f>IF(Table1[[#This Row],[Income]]&lt;=30000, "Low Income", IF(Table1[[#This Row],[Income]]&lt;=60000,"Medium Income","High Income"))</f>
        <v>Medium Income</v>
      </c>
      <c r="J595" s="1">
        <f>Table1[[#This Row],[LoanAmount]]/Table1[[#This Row],[Income]]</f>
        <v>0.42759743784605364</v>
      </c>
    </row>
    <row r="596" spans="1:10" x14ac:dyDescent="0.3">
      <c r="A596">
        <v>716</v>
      </c>
      <c r="B596">
        <v>49</v>
      </c>
      <c r="C596" t="s">
        <v>8</v>
      </c>
      <c r="D596">
        <v>52685</v>
      </c>
      <c r="E596">
        <v>15138</v>
      </c>
      <c r="F596">
        <v>497</v>
      </c>
      <c r="G596" t="s">
        <v>9</v>
      </c>
      <c r="H596" t="s">
        <v>10</v>
      </c>
      <c r="I596" t="str">
        <f>IF(Table1[[#This Row],[Income]]&lt;=30000, "Low Income", IF(Table1[[#This Row],[Income]]&lt;=60000,"Medium Income","High Income"))</f>
        <v>Medium Income</v>
      </c>
      <c r="J596" s="1">
        <f>Table1[[#This Row],[LoanAmount]]/Table1[[#This Row],[Income]]</f>
        <v>0.28733035968491982</v>
      </c>
    </row>
    <row r="597" spans="1:10" x14ac:dyDescent="0.3">
      <c r="A597">
        <v>717</v>
      </c>
      <c r="B597">
        <v>52</v>
      </c>
      <c r="C597" t="s">
        <v>8</v>
      </c>
      <c r="D597">
        <v>23429</v>
      </c>
      <c r="E597">
        <v>18294</v>
      </c>
      <c r="F597">
        <v>813</v>
      </c>
      <c r="G597" t="s">
        <v>9</v>
      </c>
      <c r="H597" t="s">
        <v>14</v>
      </c>
      <c r="I597" t="str">
        <f>IF(Table1[[#This Row],[Income]]&lt;=30000, "Low Income", IF(Table1[[#This Row],[Income]]&lt;=60000,"Medium Income","High Income"))</f>
        <v>Low Income</v>
      </c>
      <c r="J597" s="1">
        <f>Table1[[#This Row],[LoanAmount]]/Table1[[#This Row],[Income]]</f>
        <v>0.78082717999060991</v>
      </c>
    </row>
    <row r="598" spans="1:10" x14ac:dyDescent="0.3">
      <c r="A598">
        <v>718</v>
      </c>
      <c r="B598">
        <v>39</v>
      </c>
      <c r="C598" t="s">
        <v>8</v>
      </c>
      <c r="D598">
        <v>29716</v>
      </c>
      <c r="E598">
        <v>3169</v>
      </c>
      <c r="F598">
        <v>424</v>
      </c>
      <c r="G598" t="s">
        <v>9</v>
      </c>
      <c r="H598" t="s">
        <v>10</v>
      </c>
      <c r="I598" t="str">
        <f>IF(Table1[[#This Row],[Income]]&lt;=30000, "Low Income", IF(Table1[[#This Row],[Income]]&lt;=60000,"Medium Income","High Income"))</f>
        <v>Low Income</v>
      </c>
      <c r="J598" s="1">
        <f>Table1[[#This Row],[LoanAmount]]/Table1[[#This Row],[Income]]</f>
        <v>0.10664288598734688</v>
      </c>
    </row>
    <row r="599" spans="1:10" x14ac:dyDescent="0.3">
      <c r="A599">
        <v>719</v>
      </c>
      <c r="B599">
        <v>41</v>
      </c>
      <c r="C599" t="s">
        <v>8</v>
      </c>
      <c r="D599">
        <v>48500</v>
      </c>
      <c r="E599">
        <v>19556</v>
      </c>
      <c r="F599">
        <v>683</v>
      </c>
      <c r="G599" t="s">
        <v>12</v>
      </c>
      <c r="H599" t="s">
        <v>13</v>
      </c>
      <c r="I599" t="str">
        <f>IF(Table1[[#This Row],[Income]]&lt;=30000, "Low Income", IF(Table1[[#This Row],[Income]]&lt;=60000,"Medium Income","High Income"))</f>
        <v>Medium Income</v>
      </c>
      <c r="J599" s="1">
        <f>Table1[[#This Row],[LoanAmount]]/Table1[[#This Row],[Income]]</f>
        <v>0.40321649484536082</v>
      </c>
    </row>
    <row r="600" spans="1:10" x14ac:dyDescent="0.3">
      <c r="A600">
        <v>720</v>
      </c>
      <c r="B600">
        <v>25</v>
      </c>
      <c r="C600" t="s">
        <v>8</v>
      </c>
      <c r="D600">
        <v>26138</v>
      </c>
      <c r="E600">
        <v>7313</v>
      </c>
      <c r="F600">
        <v>848</v>
      </c>
      <c r="G600" t="s">
        <v>12</v>
      </c>
      <c r="H600" t="s">
        <v>14</v>
      </c>
      <c r="I600" t="str">
        <f>IF(Table1[[#This Row],[Income]]&lt;=30000, "Low Income", IF(Table1[[#This Row],[Income]]&lt;=60000,"Medium Income","High Income"))</f>
        <v>Low Income</v>
      </c>
      <c r="J600" s="1">
        <f>Table1[[#This Row],[LoanAmount]]/Table1[[#This Row],[Income]]</f>
        <v>0.27978422220521848</v>
      </c>
    </row>
    <row r="601" spans="1:10" x14ac:dyDescent="0.3">
      <c r="A601">
        <v>721</v>
      </c>
      <c r="B601">
        <v>38</v>
      </c>
      <c r="C601" t="s">
        <v>11</v>
      </c>
      <c r="D601">
        <v>50298</v>
      </c>
      <c r="E601">
        <v>9315</v>
      </c>
      <c r="F601">
        <v>768</v>
      </c>
      <c r="G601" t="s">
        <v>12</v>
      </c>
      <c r="H601" t="s">
        <v>14</v>
      </c>
      <c r="I601" t="str">
        <f>IF(Table1[[#This Row],[Income]]&lt;=30000, "Low Income", IF(Table1[[#This Row],[Income]]&lt;=60000,"Medium Income","High Income"))</f>
        <v>Medium Income</v>
      </c>
      <c r="J601" s="1">
        <f>Table1[[#This Row],[LoanAmount]]/Table1[[#This Row],[Income]]</f>
        <v>0.18519623046642014</v>
      </c>
    </row>
    <row r="602" spans="1:10" x14ac:dyDescent="0.3">
      <c r="A602">
        <v>722</v>
      </c>
      <c r="B602">
        <v>48</v>
      </c>
      <c r="C602" t="s">
        <v>8</v>
      </c>
      <c r="D602">
        <v>66112</v>
      </c>
      <c r="E602">
        <v>9036</v>
      </c>
      <c r="F602">
        <v>700</v>
      </c>
      <c r="G602" t="s">
        <v>12</v>
      </c>
      <c r="H602" t="s">
        <v>13</v>
      </c>
      <c r="I602" t="str">
        <f>IF(Table1[[#This Row],[Income]]&lt;=30000, "Low Income", IF(Table1[[#This Row],[Income]]&lt;=60000,"Medium Income","High Income"))</f>
        <v>High Income</v>
      </c>
      <c r="J602" s="1">
        <f>Table1[[#This Row],[LoanAmount]]/Table1[[#This Row],[Income]]</f>
        <v>0.13667715392061955</v>
      </c>
    </row>
    <row r="603" spans="1:10" x14ac:dyDescent="0.3">
      <c r="A603">
        <v>723</v>
      </c>
      <c r="B603">
        <v>42</v>
      </c>
      <c r="C603" t="s">
        <v>11</v>
      </c>
      <c r="D603">
        <v>38429</v>
      </c>
      <c r="E603">
        <v>1785</v>
      </c>
      <c r="F603">
        <v>467</v>
      </c>
      <c r="G603" t="s">
        <v>9</v>
      </c>
      <c r="H603" t="s">
        <v>10</v>
      </c>
      <c r="I603" t="str">
        <f>IF(Table1[[#This Row],[Income]]&lt;=30000, "Low Income", IF(Table1[[#This Row],[Income]]&lt;=60000,"Medium Income","High Income"))</f>
        <v>Medium Income</v>
      </c>
      <c r="J603" s="1">
        <f>Table1[[#This Row],[LoanAmount]]/Table1[[#This Row],[Income]]</f>
        <v>4.6449296104504413E-2</v>
      </c>
    </row>
    <row r="604" spans="1:10" x14ac:dyDescent="0.3">
      <c r="A604">
        <v>727</v>
      </c>
      <c r="B604">
        <v>25</v>
      </c>
      <c r="C604" t="s">
        <v>8</v>
      </c>
      <c r="D604">
        <v>66681</v>
      </c>
      <c r="E604">
        <v>15973</v>
      </c>
      <c r="F604">
        <v>563</v>
      </c>
      <c r="G604" t="s">
        <v>9</v>
      </c>
      <c r="H604" t="s">
        <v>10</v>
      </c>
      <c r="I604" t="str">
        <f>IF(Table1[[#This Row],[Income]]&lt;=30000, "Low Income", IF(Table1[[#This Row],[Income]]&lt;=60000,"Medium Income","High Income"))</f>
        <v>High Income</v>
      </c>
      <c r="J604" s="1">
        <f>Table1[[#This Row],[LoanAmount]]/Table1[[#This Row],[Income]]</f>
        <v>0.23954349814789822</v>
      </c>
    </row>
    <row r="605" spans="1:10" x14ac:dyDescent="0.3">
      <c r="A605">
        <v>728</v>
      </c>
      <c r="B605">
        <v>32</v>
      </c>
      <c r="C605" t="s">
        <v>8</v>
      </c>
      <c r="D605">
        <v>63519</v>
      </c>
      <c r="E605">
        <v>6619</v>
      </c>
      <c r="F605">
        <v>482</v>
      </c>
      <c r="G605" t="s">
        <v>9</v>
      </c>
      <c r="H605" t="s">
        <v>10</v>
      </c>
      <c r="I605" t="str">
        <f>IF(Table1[[#This Row],[Income]]&lt;=30000, "Low Income", IF(Table1[[#This Row],[Income]]&lt;=60000,"Medium Income","High Income"))</f>
        <v>High Income</v>
      </c>
      <c r="J605" s="1">
        <f>Table1[[#This Row],[LoanAmount]]/Table1[[#This Row],[Income]]</f>
        <v>0.10420504101135093</v>
      </c>
    </row>
    <row r="606" spans="1:10" x14ac:dyDescent="0.3">
      <c r="A606">
        <v>729</v>
      </c>
      <c r="B606">
        <v>46</v>
      </c>
      <c r="C606" t="s">
        <v>11</v>
      </c>
      <c r="D606">
        <v>50732</v>
      </c>
      <c r="E606">
        <v>2936</v>
      </c>
      <c r="F606">
        <v>784</v>
      </c>
      <c r="G606" t="s">
        <v>12</v>
      </c>
      <c r="H606" t="s">
        <v>14</v>
      </c>
      <c r="I606" t="str">
        <f>IF(Table1[[#This Row],[Income]]&lt;=30000, "Low Income", IF(Table1[[#This Row],[Income]]&lt;=60000,"Medium Income","High Income"))</f>
        <v>Medium Income</v>
      </c>
      <c r="J606" s="1">
        <f>Table1[[#This Row],[LoanAmount]]/Table1[[#This Row],[Income]]</f>
        <v>5.7872743041867063E-2</v>
      </c>
    </row>
    <row r="607" spans="1:10" x14ac:dyDescent="0.3">
      <c r="A607">
        <v>730</v>
      </c>
      <c r="B607">
        <v>54</v>
      </c>
      <c r="C607" t="s">
        <v>8</v>
      </c>
      <c r="D607">
        <v>54905</v>
      </c>
      <c r="E607">
        <v>4807</v>
      </c>
      <c r="F607">
        <v>537</v>
      </c>
      <c r="G607" t="s">
        <v>9</v>
      </c>
      <c r="H607" t="s">
        <v>10</v>
      </c>
      <c r="I607" t="str">
        <f>IF(Table1[[#This Row],[Income]]&lt;=30000, "Low Income", IF(Table1[[#This Row],[Income]]&lt;=60000,"Medium Income","High Income"))</f>
        <v>Medium Income</v>
      </c>
      <c r="J607" s="1">
        <f>Table1[[#This Row],[LoanAmount]]/Table1[[#This Row],[Income]]</f>
        <v>8.7551224842910488E-2</v>
      </c>
    </row>
    <row r="608" spans="1:10" x14ac:dyDescent="0.3">
      <c r="A608">
        <v>731</v>
      </c>
      <c r="B608">
        <v>34</v>
      </c>
      <c r="C608" t="s">
        <v>8</v>
      </c>
      <c r="D608">
        <v>32347</v>
      </c>
      <c r="E608">
        <v>8151</v>
      </c>
      <c r="F608">
        <v>819</v>
      </c>
      <c r="G608" t="s">
        <v>12</v>
      </c>
      <c r="H608" t="s">
        <v>14</v>
      </c>
      <c r="I608" t="str">
        <f>IF(Table1[[#This Row],[Income]]&lt;=30000, "Low Income", IF(Table1[[#This Row],[Income]]&lt;=60000,"Medium Income","High Income"))</f>
        <v>Medium Income</v>
      </c>
      <c r="J608" s="1">
        <f>Table1[[#This Row],[LoanAmount]]/Table1[[#This Row],[Income]]</f>
        <v>0.25198627384301481</v>
      </c>
    </row>
    <row r="609" spans="1:10" x14ac:dyDescent="0.3">
      <c r="A609">
        <v>732</v>
      </c>
      <c r="B609">
        <v>46</v>
      </c>
      <c r="C609" t="s">
        <v>8</v>
      </c>
      <c r="D609">
        <v>31920</v>
      </c>
      <c r="E609">
        <v>10493</v>
      </c>
      <c r="F609">
        <v>472</v>
      </c>
      <c r="G609" t="s">
        <v>9</v>
      </c>
      <c r="H609" t="s">
        <v>10</v>
      </c>
      <c r="I609" t="str">
        <f>IF(Table1[[#This Row],[Income]]&lt;=30000, "Low Income", IF(Table1[[#This Row],[Income]]&lt;=60000,"Medium Income","High Income"))</f>
        <v>Medium Income</v>
      </c>
      <c r="J609" s="1">
        <f>Table1[[#This Row],[LoanAmount]]/Table1[[#This Row],[Income]]</f>
        <v>0.32872807017543859</v>
      </c>
    </row>
    <row r="610" spans="1:10" x14ac:dyDescent="0.3">
      <c r="A610">
        <v>733</v>
      </c>
      <c r="B610">
        <v>47</v>
      </c>
      <c r="C610" t="s">
        <v>11</v>
      </c>
      <c r="D610">
        <v>46822</v>
      </c>
      <c r="E610">
        <v>13355</v>
      </c>
      <c r="F610">
        <v>636</v>
      </c>
      <c r="G610" t="s">
        <v>9</v>
      </c>
      <c r="H610" t="s">
        <v>10</v>
      </c>
      <c r="I610" t="str">
        <f>IF(Table1[[#This Row],[Income]]&lt;=30000, "Low Income", IF(Table1[[#This Row],[Income]]&lt;=60000,"Medium Income","High Income"))</f>
        <v>Medium Income</v>
      </c>
      <c r="J610" s="1">
        <f>Table1[[#This Row],[LoanAmount]]/Table1[[#This Row],[Income]]</f>
        <v>0.2852291657767716</v>
      </c>
    </row>
    <row r="611" spans="1:10" x14ac:dyDescent="0.3">
      <c r="A611">
        <v>736</v>
      </c>
      <c r="B611">
        <v>42</v>
      </c>
      <c r="C611" t="s">
        <v>8</v>
      </c>
      <c r="D611">
        <v>78419</v>
      </c>
      <c r="E611">
        <v>3352</v>
      </c>
      <c r="F611">
        <v>815</v>
      </c>
      <c r="G611" t="s">
        <v>12</v>
      </c>
      <c r="H611" t="s">
        <v>14</v>
      </c>
      <c r="I611" t="str">
        <f>IF(Table1[[#This Row],[Income]]&lt;=30000, "Low Income", IF(Table1[[#This Row],[Income]]&lt;=60000,"Medium Income","High Income"))</f>
        <v>High Income</v>
      </c>
      <c r="J611" s="1">
        <f>Table1[[#This Row],[LoanAmount]]/Table1[[#This Row],[Income]]</f>
        <v>4.2744742983205603E-2</v>
      </c>
    </row>
    <row r="612" spans="1:10" x14ac:dyDescent="0.3">
      <c r="A612">
        <v>737</v>
      </c>
      <c r="B612">
        <v>50</v>
      </c>
      <c r="C612" t="s">
        <v>8</v>
      </c>
      <c r="D612">
        <v>38563</v>
      </c>
      <c r="E612">
        <v>2932</v>
      </c>
      <c r="F612">
        <v>687</v>
      </c>
      <c r="G612" t="s">
        <v>12</v>
      </c>
      <c r="H612" t="s">
        <v>13</v>
      </c>
      <c r="I612" t="str">
        <f>IF(Table1[[#This Row],[Income]]&lt;=30000, "Low Income", IF(Table1[[#This Row],[Income]]&lt;=60000,"Medium Income","High Income"))</f>
        <v>Medium Income</v>
      </c>
      <c r="J612" s="1">
        <f>Table1[[#This Row],[LoanAmount]]/Table1[[#This Row],[Income]]</f>
        <v>7.6031429090060415E-2</v>
      </c>
    </row>
    <row r="613" spans="1:10" x14ac:dyDescent="0.3">
      <c r="A613">
        <v>738</v>
      </c>
      <c r="B613">
        <v>37</v>
      </c>
      <c r="C613" t="s">
        <v>11</v>
      </c>
      <c r="D613">
        <v>22967</v>
      </c>
      <c r="E613">
        <v>11913</v>
      </c>
      <c r="F613">
        <v>661</v>
      </c>
      <c r="G613" t="s">
        <v>9</v>
      </c>
      <c r="H613" t="s">
        <v>13</v>
      </c>
      <c r="I613" t="str">
        <f>IF(Table1[[#This Row],[Income]]&lt;=30000, "Low Income", IF(Table1[[#This Row],[Income]]&lt;=60000,"Medium Income","High Income"))</f>
        <v>Low Income</v>
      </c>
      <c r="J613" s="1">
        <f>Table1[[#This Row],[LoanAmount]]/Table1[[#This Row],[Income]]</f>
        <v>0.51870074454652326</v>
      </c>
    </row>
    <row r="614" spans="1:10" x14ac:dyDescent="0.3">
      <c r="A614">
        <v>739</v>
      </c>
      <c r="B614">
        <v>46</v>
      </c>
      <c r="C614" t="s">
        <v>11</v>
      </c>
      <c r="D614">
        <v>60183</v>
      </c>
      <c r="E614">
        <v>9556</v>
      </c>
      <c r="F614">
        <v>575</v>
      </c>
      <c r="G614" t="s">
        <v>9</v>
      </c>
      <c r="H614" t="s">
        <v>10</v>
      </c>
      <c r="I614" t="str">
        <f>IF(Table1[[#This Row],[Income]]&lt;=30000, "Low Income", IF(Table1[[#This Row],[Income]]&lt;=60000,"Medium Income","High Income"))</f>
        <v>High Income</v>
      </c>
      <c r="J614" s="1">
        <f>Table1[[#This Row],[LoanAmount]]/Table1[[#This Row],[Income]]</f>
        <v>0.15878238040642706</v>
      </c>
    </row>
    <row r="615" spans="1:10" x14ac:dyDescent="0.3">
      <c r="A615">
        <v>740</v>
      </c>
      <c r="B615">
        <v>56</v>
      </c>
      <c r="C615" t="s">
        <v>8</v>
      </c>
      <c r="D615">
        <v>26871</v>
      </c>
      <c r="E615">
        <v>6498</v>
      </c>
      <c r="F615">
        <v>565</v>
      </c>
      <c r="G615" t="s">
        <v>9</v>
      </c>
      <c r="H615" t="s">
        <v>10</v>
      </c>
      <c r="I615" t="str">
        <f>IF(Table1[[#This Row],[Income]]&lt;=30000, "Low Income", IF(Table1[[#This Row],[Income]]&lt;=60000,"Medium Income","High Income"))</f>
        <v>Low Income</v>
      </c>
      <c r="J615" s="1">
        <f>Table1[[#This Row],[LoanAmount]]/Table1[[#This Row],[Income]]</f>
        <v>0.24182203862900525</v>
      </c>
    </row>
    <row r="616" spans="1:10" x14ac:dyDescent="0.3">
      <c r="A616">
        <v>741</v>
      </c>
      <c r="B616">
        <v>21</v>
      </c>
      <c r="C616" t="s">
        <v>8</v>
      </c>
      <c r="D616">
        <v>43763</v>
      </c>
      <c r="E616">
        <v>11582</v>
      </c>
      <c r="F616">
        <v>544</v>
      </c>
      <c r="G616" t="s">
        <v>9</v>
      </c>
      <c r="H616" t="s">
        <v>10</v>
      </c>
      <c r="I616" t="str">
        <f>IF(Table1[[#This Row],[Income]]&lt;=30000, "Low Income", IF(Table1[[#This Row],[Income]]&lt;=60000,"Medium Income","High Income"))</f>
        <v>Medium Income</v>
      </c>
      <c r="J616" s="1">
        <f>Table1[[#This Row],[LoanAmount]]/Table1[[#This Row],[Income]]</f>
        <v>0.2646527888855883</v>
      </c>
    </row>
    <row r="617" spans="1:10" x14ac:dyDescent="0.3">
      <c r="A617">
        <v>742</v>
      </c>
      <c r="B617">
        <v>28</v>
      </c>
      <c r="C617" t="s">
        <v>11</v>
      </c>
      <c r="D617">
        <v>26916</v>
      </c>
      <c r="E617">
        <v>18330</v>
      </c>
      <c r="F617">
        <v>729</v>
      </c>
      <c r="G617" t="s">
        <v>9</v>
      </c>
      <c r="H617" t="s">
        <v>13</v>
      </c>
      <c r="I617" t="str">
        <f>IF(Table1[[#This Row],[Income]]&lt;=30000, "Low Income", IF(Table1[[#This Row],[Income]]&lt;=60000,"Medium Income","High Income"))</f>
        <v>Low Income</v>
      </c>
      <c r="J617" s="1">
        <f>Table1[[#This Row],[LoanAmount]]/Table1[[#This Row],[Income]]</f>
        <v>0.68100757913508692</v>
      </c>
    </row>
    <row r="618" spans="1:10" x14ac:dyDescent="0.3">
      <c r="A618">
        <v>743</v>
      </c>
      <c r="B618">
        <v>55</v>
      </c>
      <c r="C618" t="s">
        <v>11</v>
      </c>
      <c r="D618">
        <v>23734</v>
      </c>
      <c r="E618">
        <v>14865</v>
      </c>
      <c r="F618">
        <v>769</v>
      </c>
      <c r="G618" t="s">
        <v>9</v>
      </c>
      <c r="H618" t="s">
        <v>14</v>
      </c>
      <c r="I618" t="str">
        <f>IF(Table1[[#This Row],[Income]]&lt;=30000, "Low Income", IF(Table1[[#This Row],[Income]]&lt;=60000,"Medium Income","High Income"))</f>
        <v>Low Income</v>
      </c>
      <c r="J618" s="1">
        <f>Table1[[#This Row],[LoanAmount]]/Table1[[#This Row],[Income]]</f>
        <v>0.62631667649785117</v>
      </c>
    </row>
    <row r="619" spans="1:10" x14ac:dyDescent="0.3">
      <c r="A619">
        <v>744</v>
      </c>
      <c r="B619">
        <v>35</v>
      </c>
      <c r="C619" t="s">
        <v>8</v>
      </c>
      <c r="D619">
        <v>48500</v>
      </c>
      <c r="E619">
        <v>10569</v>
      </c>
      <c r="F619">
        <v>682</v>
      </c>
      <c r="G619" t="s">
        <v>12</v>
      </c>
      <c r="H619" t="s">
        <v>13</v>
      </c>
      <c r="I619" t="str">
        <f>IF(Table1[[#This Row],[Income]]&lt;=30000, "Low Income", IF(Table1[[#This Row],[Income]]&lt;=60000,"Medium Income","High Income"))</f>
        <v>Medium Income</v>
      </c>
      <c r="J619" s="1">
        <f>Table1[[#This Row],[LoanAmount]]/Table1[[#This Row],[Income]]</f>
        <v>0.21791752577319587</v>
      </c>
    </row>
    <row r="620" spans="1:10" x14ac:dyDescent="0.3">
      <c r="A620">
        <v>745</v>
      </c>
      <c r="B620">
        <v>42</v>
      </c>
      <c r="C620" t="s">
        <v>11</v>
      </c>
      <c r="D620">
        <v>43179</v>
      </c>
      <c r="E620">
        <v>18823</v>
      </c>
      <c r="F620">
        <v>453</v>
      </c>
      <c r="G620" t="s">
        <v>9</v>
      </c>
      <c r="H620" t="s">
        <v>10</v>
      </c>
      <c r="I620" t="str">
        <f>IF(Table1[[#This Row],[Income]]&lt;=30000, "Low Income", IF(Table1[[#This Row],[Income]]&lt;=60000,"Medium Income","High Income"))</f>
        <v>Medium Income</v>
      </c>
      <c r="J620" s="1">
        <f>Table1[[#This Row],[LoanAmount]]/Table1[[#This Row],[Income]]</f>
        <v>0.43592950276754905</v>
      </c>
    </row>
    <row r="621" spans="1:10" x14ac:dyDescent="0.3">
      <c r="A621">
        <v>746</v>
      </c>
      <c r="B621">
        <v>34</v>
      </c>
      <c r="C621" t="s">
        <v>8</v>
      </c>
      <c r="D621">
        <v>69929</v>
      </c>
      <c r="E621">
        <v>5857</v>
      </c>
      <c r="F621">
        <v>577</v>
      </c>
      <c r="G621" t="s">
        <v>9</v>
      </c>
      <c r="H621" t="s">
        <v>10</v>
      </c>
      <c r="I621" t="str">
        <f>IF(Table1[[#This Row],[Income]]&lt;=30000, "Low Income", IF(Table1[[#This Row],[Income]]&lt;=60000,"Medium Income","High Income"))</f>
        <v>High Income</v>
      </c>
      <c r="J621" s="1">
        <f>Table1[[#This Row],[LoanAmount]]/Table1[[#This Row],[Income]]</f>
        <v>8.3756381472636532E-2</v>
      </c>
    </row>
    <row r="622" spans="1:10" x14ac:dyDescent="0.3">
      <c r="A622">
        <v>748</v>
      </c>
      <c r="B622">
        <v>48</v>
      </c>
      <c r="C622" t="s">
        <v>11</v>
      </c>
      <c r="D622">
        <v>70099</v>
      </c>
      <c r="E622">
        <v>12181</v>
      </c>
      <c r="F622">
        <v>643</v>
      </c>
      <c r="G622" t="s">
        <v>9</v>
      </c>
      <c r="H622" t="s">
        <v>10</v>
      </c>
      <c r="I622" t="str">
        <f>IF(Table1[[#This Row],[Income]]&lt;=30000, "Low Income", IF(Table1[[#This Row],[Income]]&lt;=60000,"Medium Income","High Income"))</f>
        <v>High Income</v>
      </c>
      <c r="J622" s="1">
        <f>Table1[[#This Row],[LoanAmount]]/Table1[[#This Row],[Income]]</f>
        <v>0.17376852736843607</v>
      </c>
    </row>
    <row r="623" spans="1:10" x14ac:dyDescent="0.3">
      <c r="A623">
        <v>749</v>
      </c>
      <c r="B623">
        <v>43</v>
      </c>
      <c r="C623" t="s">
        <v>11</v>
      </c>
      <c r="D623">
        <v>50262</v>
      </c>
      <c r="E623">
        <v>17766</v>
      </c>
      <c r="F623">
        <v>740</v>
      </c>
      <c r="G623" t="s">
        <v>12</v>
      </c>
      <c r="H623" t="s">
        <v>13</v>
      </c>
      <c r="I623" t="str">
        <f>IF(Table1[[#This Row],[Income]]&lt;=30000, "Low Income", IF(Table1[[#This Row],[Income]]&lt;=60000,"Medium Income","High Income"))</f>
        <v>Medium Income</v>
      </c>
      <c r="J623" s="1">
        <f>Table1[[#This Row],[LoanAmount]]/Table1[[#This Row],[Income]]</f>
        <v>0.35346782857824999</v>
      </c>
    </row>
    <row r="624" spans="1:10" x14ac:dyDescent="0.3">
      <c r="A624">
        <v>750</v>
      </c>
      <c r="B624">
        <v>34</v>
      </c>
      <c r="C624" t="s">
        <v>11</v>
      </c>
      <c r="D624">
        <v>27677</v>
      </c>
      <c r="E624">
        <v>9491</v>
      </c>
      <c r="F624">
        <v>526</v>
      </c>
      <c r="G624" t="s">
        <v>9</v>
      </c>
      <c r="H624" t="s">
        <v>10</v>
      </c>
      <c r="I624" t="str">
        <f>IF(Table1[[#This Row],[Income]]&lt;=30000, "Low Income", IF(Table1[[#This Row],[Income]]&lt;=60000,"Medium Income","High Income"))</f>
        <v>Low Income</v>
      </c>
      <c r="J624" s="1">
        <f>Table1[[#This Row],[LoanAmount]]/Table1[[#This Row],[Income]]</f>
        <v>0.34292011417422408</v>
      </c>
    </row>
    <row r="625" spans="1:10" x14ac:dyDescent="0.3">
      <c r="A625">
        <v>751</v>
      </c>
      <c r="B625">
        <v>44</v>
      </c>
      <c r="C625" t="s">
        <v>8</v>
      </c>
      <c r="D625">
        <v>66871</v>
      </c>
      <c r="E625">
        <v>1138</v>
      </c>
      <c r="F625">
        <v>808</v>
      </c>
      <c r="G625" t="s">
        <v>12</v>
      </c>
      <c r="H625" t="s">
        <v>14</v>
      </c>
      <c r="I625" t="str">
        <f>IF(Table1[[#This Row],[Income]]&lt;=30000, "Low Income", IF(Table1[[#This Row],[Income]]&lt;=60000,"Medium Income","High Income"))</f>
        <v>High Income</v>
      </c>
      <c r="J625" s="1">
        <f>Table1[[#This Row],[LoanAmount]]/Table1[[#This Row],[Income]]</f>
        <v>1.7017840319420975E-2</v>
      </c>
    </row>
    <row r="626" spans="1:10" x14ac:dyDescent="0.3">
      <c r="A626">
        <v>752</v>
      </c>
      <c r="B626">
        <v>22</v>
      </c>
      <c r="C626" t="s">
        <v>11</v>
      </c>
      <c r="D626">
        <v>33268</v>
      </c>
      <c r="E626">
        <v>1358</v>
      </c>
      <c r="F626">
        <v>811</v>
      </c>
      <c r="G626" t="s">
        <v>12</v>
      </c>
      <c r="H626" t="s">
        <v>14</v>
      </c>
      <c r="I626" t="str">
        <f>IF(Table1[[#This Row],[Income]]&lt;=30000, "Low Income", IF(Table1[[#This Row],[Income]]&lt;=60000,"Medium Income","High Income"))</f>
        <v>Medium Income</v>
      </c>
      <c r="J626" s="1">
        <f>Table1[[#This Row],[LoanAmount]]/Table1[[#This Row],[Income]]</f>
        <v>4.0820007214139711E-2</v>
      </c>
    </row>
    <row r="627" spans="1:10" x14ac:dyDescent="0.3">
      <c r="A627">
        <v>753</v>
      </c>
      <c r="B627">
        <v>46</v>
      </c>
      <c r="C627" t="s">
        <v>11</v>
      </c>
      <c r="D627">
        <v>27330</v>
      </c>
      <c r="E627">
        <v>10714</v>
      </c>
      <c r="F627">
        <v>766</v>
      </c>
      <c r="G627" t="s">
        <v>12</v>
      </c>
      <c r="H627" t="s">
        <v>14</v>
      </c>
      <c r="I627" t="str">
        <f>IF(Table1[[#This Row],[Income]]&lt;=30000, "Low Income", IF(Table1[[#This Row],[Income]]&lt;=60000,"Medium Income","High Income"))</f>
        <v>Low Income</v>
      </c>
      <c r="J627" s="1">
        <f>Table1[[#This Row],[LoanAmount]]/Table1[[#This Row],[Income]]</f>
        <v>0.3920234174899378</v>
      </c>
    </row>
    <row r="628" spans="1:10" x14ac:dyDescent="0.3">
      <c r="A628">
        <v>754</v>
      </c>
      <c r="B628">
        <v>34</v>
      </c>
      <c r="C628" t="s">
        <v>8</v>
      </c>
      <c r="D628">
        <v>35733</v>
      </c>
      <c r="E628">
        <v>2627</v>
      </c>
      <c r="F628">
        <v>670</v>
      </c>
      <c r="G628" t="s">
        <v>9</v>
      </c>
      <c r="H628" t="s">
        <v>13</v>
      </c>
      <c r="I628" t="str">
        <f>IF(Table1[[#This Row],[Income]]&lt;=30000, "Low Income", IF(Table1[[#This Row],[Income]]&lt;=60000,"Medium Income","High Income"))</f>
        <v>Medium Income</v>
      </c>
      <c r="J628" s="1">
        <f>Table1[[#This Row],[LoanAmount]]/Table1[[#This Row],[Income]]</f>
        <v>7.3517476842134721E-2</v>
      </c>
    </row>
    <row r="629" spans="1:10" x14ac:dyDescent="0.3">
      <c r="A629">
        <v>755</v>
      </c>
      <c r="B629">
        <v>27</v>
      </c>
      <c r="C629" t="s">
        <v>11</v>
      </c>
      <c r="D629">
        <v>75545</v>
      </c>
      <c r="E629">
        <v>16996</v>
      </c>
      <c r="F629">
        <v>531</v>
      </c>
      <c r="G629" t="s">
        <v>9</v>
      </c>
      <c r="H629" t="s">
        <v>10</v>
      </c>
      <c r="I629" t="str">
        <f>IF(Table1[[#This Row],[Income]]&lt;=30000, "Low Income", IF(Table1[[#This Row],[Income]]&lt;=60000,"Medium Income","High Income"))</f>
        <v>High Income</v>
      </c>
      <c r="J629" s="1">
        <f>Table1[[#This Row],[LoanAmount]]/Table1[[#This Row],[Income]]</f>
        <v>0.22497848964193526</v>
      </c>
    </row>
    <row r="630" spans="1:10" x14ac:dyDescent="0.3">
      <c r="A630">
        <v>757</v>
      </c>
      <c r="B630">
        <v>43</v>
      </c>
      <c r="C630" t="s">
        <v>8</v>
      </c>
      <c r="D630">
        <v>42286</v>
      </c>
      <c r="E630">
        <v>14283</v>
      </c>
      <c r="F630">
        <v>778</v>
      </c>
      <c r="G630" t="s">
        <v>12</v>
      </c>
      <c r="H630" t="s">
        <v>14</v>
      </c>
      <c r="I630" t="str">
        <f>IF(Table1[[#This Row],[Income]]&lt;=30000, "Low Income", IF(Table1[[#This Row],[Income]]&lt;=60000,"Medium Income","High Income"))</f>
        <v>Medium Income</v>
      </c>
      <c r="J630" s="1">
        <f>Table1[[#This Row],[LoanAmount]]/Table1[[#This Row],[Income]]</f>
        <v>0.33777136640968641</v>
      </c>
    </row>
    <row r="631" spans="1:10" x14ac:dyDescent="0.3">
      <c r="A631">
        <v>758</v>
      </c>
      <c r="B631">
        <v>38</v>
      </c>
      <c r="C631" t="s">
        <v>11</v>
      </c>
      <c r="D631">
        <v>21610</v>
      </c>
      <c r="E631">
        <v>7652</v>
      </c>
      <c r="F631">
        <v>472</v>
      </c>
      <c r="G631" t="s">
        <v>9</v>
      </c>
      <c r="H631" t="s">
        <v>10</v>
      </c>
      <c r="I631" t="str">
        <f>IF(Table1[[#This Row],[Income]]&lt;=30000, "Low Income", IF(Table1[[#This Row],[Income]]&lt;=60000,"Medium Income","High Income"))</f>
        <v>Low Income</v>
      </c>
      <c r="J631" s="1">
        <f>Table1[[#This Row],[LoanAmount]]/Table1[[#This Row],[Income]]</f>
        <v>0.35409532623785284</v>
      </c>
    </row>
    <row r="632" spans="1:10" x14ac:dyDescent="0.3">
      <c r="A632">
        <v>759</v>
      </c>
      <c r="B632">
        <v>58</v>
      </c>
      <c r="C632" t="s">
        <v>8</v>
      </c>
      <c r="D632">
        <v>21430</v>
      </c>
      <c r="E632">
        <v>3151</v>
      </c>
      <c r="F632">
        <v>810</v>
      </c>
      <c r="G632" t="s">
        <v>9</v>
      </c>
      <c r="H632" t="s">
        <v>14</v>
      </c>
      <c r="I632" t="str">
        <f>IF(Table1[[#This Row],[Income]]&lt;=30000, "Low Income", IF(Table1[[#This Row],[Income]]&lt;=60000,"Medium Income","High Income"))</f>
        <v>Low Income</v>
      </c>
      <c r="J632" s="1">
        <f>Table1[[#This Row],[LoanAmount]]/Table1[[#This Row],[Income]]</f>
        <v>0.14703686420905274</v>
      </c>
    </row>
    <row r="633" spans="1:10" x14ac:dyDescent="0.3">
      <c r="A633">
        <v>761</v>
      </c>
      <c r="B633">
        <v>35</v>
      </c>
      <c r="C633" t="s">
        <v>8</v>
      </c>
      <c r="D633">
        <v>28828</v>
      </c>
      <c r="E633">
        <v>15072</v>
      </c>
      <c r="F633">
        <v>802</v>
      </c>
      <c r="G633" t="s">
        <v>9</v>
      </c>
      <c r="H633" t="s">
        <v>14</v>
      </c>
      <c r="I633" t="str">
        <f>IF(Table1[[#This Row],[Income]]&lt;=30000, "Low Income", IF(Table1[[#This Row],[Income]]&lt;=60000,"Medium Income","High Income"))</f>
        <v>Low Income</v>
      </c>
      <c r="J633" s="1">
        <f>Table1[[#This Row],[LoanAmount]]/Table1[[#This Row],[Income]]</f>
        <v>0.52282503121964752</v>
      </c>
    </row>
    <row r="634" spans="1:10" x14ac:dyDescent="0.3">
      <c r="A634">
        <v>762</v>
      </c>
      <c r="B634">
        <v>45</v>
      </c>
      <c r="C634" t="s">
        <v>8</v>
      </c>
      <c r="D634">
        <v>79978</v>
      </c>
      <c r="E634">
        <v>12927</v>
      </c>
      <c r="F634">
        <v>647</v>
      </c>
      <c r="G634" t="s">
        <v>9</v>
      </c>
      <c r="H634" t="s">
        <v>10</v>
      </c>
      <c r="I634" t="str">
        <f>IF(Table1[[#This Row],[Income]]&lt;=30000, "Low Income", IF(Table1[[#This Row],[Income]]&lt;=60000,"Medium Income","High Income"))</f>
        <v>High Income</v>
      </c>
      <c r="J634" s="1">
        <f>Table1[[#This Row],[LoanAmount]]/Table1[[#This Row],[Income]]</f>
        <v>0.16163194878591614</v>
      </c>
    </row>
    <row r="635" spans="1:10" x14ac:dyDescent="0.3">
      <c r="A635">
        <v>763</v>
      </c>
      <c r="B635">
        <v>57</v>
      </c>
      <c r="C635" t="s">
        <v>11</v>
      </c>
      <c r="D635">
        <v>57913</v>
      </c>
      <c r="E635">
        <v>7905</v>
      </c>
      <c r="F635">
        <v>747</v>
      </c>
      <c r="G635" t="s">
        <v>12</v>
      </c>
      <c r="H635" t="s">
        <v>13</v>
      </c>
      <c r="I635" t="str">
        <f>IF(Table1[[#This Row],[Income]]&lt;=30000, "Low Income", IF(Table1[[#This Row],[Income]]&lt;=60000,"Medium Income","High Income"))</f>
        <v>Medium Income</v>
      </c>
      <c r="J635" s="1">
        <f>Table1[[#This Row],[LoanAmount]]/Table1[[#This Row],[Income]]</f>
        <v>0.13649785022361127</v>
      </c>
    </row>
    <row r="636" spans="1:10" x14ac:dyDescent="0.3">
      <c r="A636">
        <v>764</v>
      </c>
      <c r="B636">
        <v>48</v>
      </c>
      <c r="C636" t="s">
        <v>8</v>
      </c>
      <c r="D636">
        <v>46497</v>
      </c>
      <c r="E636">
        <v>13452</v>
      </c>
      <c r="F636">
        <v>672</v>
      </c>
      <c r="G636" t="s">
        <v>9</v>
      </c>
      <c r="H636" t="s">
        <v>13</v>
      </c>
      <c r="I636" t="str">
        <f>IF(Table1[[#This Row],[Income]]&lt;=30000, "Low Income", IF(Table1[[#This Row],[Income]]&lt;=60000,"Medium Income","High Income"))</f>
        <v>Medium Income</v>
      </c>
      <c r="J636" s="1">
        <f>Table1[[#This Row],[LoanAmount]]/Table1[[#This Row],[Income]]</f>
        <v>0.28930898767662427</v>
      </c>
    </row>
    <row r="637" spans="1:10" x14ac:dyDescent="0.3">
      <c r="A637">
        <v>765</v>
      </c>
      <c r="B637">
        <v>30</v>
      </c>
      <c r="C637" t="s">
        <v>11</v>
      </c>
      <c r="D637">
        <v>54256</v>
      </c>
      <c r="E637">
        <v>17212</v>
      </c>
      <c r="F637">
        <v>442</v>
      </c>
      <c r="G637" t="s">
        <v>9</v>
      </c>
      <c r="H637" t="s">
        <v>10</v>
      </c>
      <c r="I637" t="str">
        <f>IF(Table1[[#This Row],[Income]]&lt;=30000, "Low Income", IF(Table1[[#This Row],[Income]]&lt;=60000,"Medium Income","High Income"))</f>
        <v>Medium Income</v>
      </c>
      <c r="J637" s="1">
        <f>Table1[[#This Row],[LoanAmount]]/Table1[[#This Row],[Income]]</f>
        <v>0.31723680330286053</v>
      </c>
    </row>
    <row r="638" spans="1:10" x14ac:dyDescent="0.3">
      <c r="A638">
        <v>766</v>
      </c>
      <c r="B638">
        <v>59</v>
      </c>
      <c r="C638" t="s">
        <v>11</v>
      </c>
      <c r="D638">
        <v>68889</v>
      </c>
      <c r="E638">
        <v>19951</v>
      </c>
      <c r="F638">
        <v>776</v>
      </c>
      <c r="G638" t="s">
        <v>12</v>
      </c>
      <c r="H638" t="s">
        <v>14</v>
      </c>
      <c r="I638" t="str">
        <f>IF(Table1[[#This Row],[Income]]&lt;=30000, "Low Income", IF(Table1[[#This Row],[Income]]&lt;=60000,"Medium Income","High Income"))</f>
        <v>High Income</v>
      </c>
      <c r="J638" s="1">
        <f>Table1[[#This Row],[LoanAmount]]/Table1[[#This Row],[Income]]</f>
        <v>0.28961082320834969</v>
      </c>
    </row>
    <row r="639" spans="1:10" x14ac:dyDescent="0.3">
      <c r="A639">
        <v>769</v>
      </c>
      <c r="B639">
        <v>42</v>
      </c>
      <c r="C639" t="s">
        <v>11</v>
      </c>
      <c r="D639">
        <v>64841</v>
      </c>
      <c r="E639">
        <v>3660</v>
      </c>
      <c r="F639">
        <v>833</v>
      </c>
      <c r="G639" t="s">
        <v>12</v>
      </c>
      <c r="H639" t="s">
        <v>14</v>
      </c>
      <c r="I639" t="str">
        <f>IF(Table1[[#This Row],[Income]]&lt;=30000, "Low Income", IF(Table1[[#This Row],[Income]]&lt;=60000,"Medium Income","High Income"))</f>
        <v>High Income</v>
      </c>
      <c r="J639" s="1">
        <f>Table1[[#This Row],[LoanAmount]]/Table1[[#This Row],[Income]]</f>
        <v>5.6445767338566648E-2</v>
      </c>
    </row>
    <row r="640" spans="1:10" x14ac:dyDescent="0.3">
      <c r="A640">
        <v>770</v>
      </c>
      <c r="B640">
        <v>46</v>
      </c>
      <c r="C640" t="s">
        <v>11</v>
      </c>
      <c r="D640">
        <v>61332</v>
      </c>
      <c r="E640">
        <v>11403</v>
      </c>
      <c r="F640">
        <v>611</v>
      </c>
      <c r="G640" t="s">
        <v>9</v>
      </c>
      <c r="H640" t="s">
        <v>10</v>
      </c>
      <c r="I640" t="str">
        <f>IF(Table1[[#This Row],[Income]]&lt;=30000, "Low Income", IF(Table1[[#This Row],[Income]]&lt;=60000,"Medium Income","High Income"))</f>
        <v>High Income</v>
      </c>
      <c r="J640" s="1">
        <f>Table1[[#This Row],[LoanAmount]]/Table1[[#This Row],[Income]]</f>
        <v>0.1859225200547838</v>
      </c>
    </row>
    <row r="641" spans="1:10" x14ac:dyDescent="0.3">
      <c r="A641">
        <v>771</v>
      </c>
      <c r="B641">
        <v>45</v>
      </c>
      <c r="C641" t="s">
        <v>11</v>
      </c>
      <c r="D641">
        <v>41526</v>
      </c>
      <c r="E641">
        <v>11238</v>
      </c>
      <c r="F641">
        <v>567</v>
      </c>
      <c r="G641" t="s">
        <v>9</v>
      </c>
      <c r="H641" t="s">
        <v>10</v>
      </c>
      <c r="I641" t="str">
        <f>IF(Table1[[#This Row],[Income]]&lt;=30000, "Low Income", IF(Table1[[#This Row],[Income]]&lt;=60000,"Medium Income","High Income"))</f>
        <v>Medium Income</v>
      </c>
      <c r="J641" s="1">
        <f>Table1[[#This Row],[LoanAmount]]/Table1[[#This Row],[Income]]</f>
        <v>0.27062563213408469</v>
      </c>
    </row>
    <row r="642" spans="1:10" x14ac:dyDescent="0.3">
      <c r="A642">
        <v>775</v>
      </c>
      <c r="B642">
        <v>45</v>
      </c>
      <c r="C642" t="s">
        <v>8</v>
      </c>
      <c r="D642">
        <v>52846</v>
      </c>
      <c r="E642">
        <v>4630</v>
      </c>
      <c r="F642">
        <v>550</v>
      </c>
      <c r="G642" t="s">
        <v>9</v>
      </c>
      <c r="H642" t="s">
        <v>10</v>
      </c>
      <c r="I642" t="str">
        <f>IF(Table1[[#This Row],[Income]]&lt;=30000, "Low Income", IF(Table1[[#This Row],[Income]]&lt;=60000,"Medium Income","High Income"))</f>
        <v>Medium Income</v>
      </c>
      <c r="J642" s="1">
        <f>Table1[[#This Row],[LoanAmount]]/Table1[[#This Row],[Income]]</f>
        <v>8.7613064375733268E-2</v>
      </c>
    </row>
    <row r="643" spans="1:10" x14ac:dyDescent="0.3">
      <c r="A643">
        <v>777</v>
      </c>
      <c r="B643">
        <v>30</v>
      </c>
      <c r="C643" t="s">
        <v>8</v>
      </c>
      <c r="D643">
        <v>48500</v>
      </c>
      <c r="E643">
        <v>13021</v>
      </c>
      <c r="F643">
        <v>835</v>
      </c>
      <c r="G643" t="s">
        <v>12</v>
      </c>
      <c r="H643" t="s">
        <v>14</v>
      </c>
      <c r="I643" t="str">
        <f>IF(Table1[[#This Row],[Income]]&lt;=30000, "Low Income", IF(Table1[[#This Row],[Income]]&lt;=60000,"Medium Income","High Income"))</f>
        <v>Medium Income</v>
      </c>
      <c r="J643" s="1">
        <f>Table1[[#This Row],[LoanAmount]]/Table1[[#This Row],[Income]]</f>
        <v>0.26847422680412369</v>
      </c>
    </row>
    <row r="644" spans="1:10" x14ac:dyDescent="0.3">
      <c r="A644">
        <v>778</v>
      </c>
      <c r="B644">
        <v>23</v>
      </c>
      <c r="C644" t="s">
        <v>11</v>
      </c>
      <c r="D644">
        <v>44794</v>
      </c>
      <c r="E644">
        <v>17859</v>
      </c>
      <c r="F644">
        <v>446</v>
      </c>
      <c r="G644" t="s">
        <v>9</v>
      </c>
      <c r="H644" t="s">
        <v>10</v>
      </c>
      <c r="I644" t="str">
        <f>IF(Table1[[#This Row],[Income]]&lt;=30000, "Low Income", IF(Table1[[#This Row],[Income]]&lt;=60000,"Medium Income","High Income"))</f>
        <v>Medium Income</v>
      </c>
      <c r="J644" s="1">
        <f>Table1[[#This Row],[LoanAmount]]/Table1[[#This Row],[Income]]</f>
        <v>0.39869178907889452</v>
      </c>
    </row>
    <row r="645" spans="1:10" x14ac:dyDescent="0.3">
      <c r="A645">
        <v>779</v>
      </c>
      <c r="B645">
        <v>38</v>
      </c>
      <c r="C645" t="s">
        <v>8</v>
      </c>
      <c r="D645">
        <v>76588</v>
      </c>
      <c r="E645">
        <v>8684</v>
      </c>
      <c r="F645">
        <v>462</v>
      </c>
      <c r="G645" t="s">
        <v>9</v>
      </c>
      <c r="H645" t="s">
        <v>10</v>
      </c>
      <c r="I645" t="str">
        <f>IF(Table1[[#This Row],[Income]]&lt;=30000, "Low Income", IF(Table1[[#This Row],[Income]]&lt;=60000,"Medium Income","High Income"))</f>
        <v>High Income</v>
      </c>
      <c r="J645" s="1">
        <f>Table1[[#This Row],[LoanAmount]]/Table1[[#This Row],[Income]]</f>
        <v>0.11338590901968977</v>
      </c>
    </row>
    <row r="646" spans="1:10" x14ac:dyDescent="0.3">
      <c r="A646">
        <v>780</v>
      </c>
      <c r="B646">
        <v>56</v>
      </c>
      <c r="C646" t="s">
        <v>8</v>
      </c>
      <c r="D646">
        <v>20448</v>
      </c>
      <c r="E646">
        <v>2207</v>
      </c>
      <c r="F646">
        <v>624</v>
      </c>
      <c r="G646" t="s">
        <v>9</v>
      </c>
      <c r="H646" t="s">
        <v>10</v>
      </c>
      <c r="I646" t="str">
        <f>IF(Table1[[#This Row],[Income]]&lt;=30000, "Low Income", IF(Table1[[#This Row],[Income]]&lt;=60000,"Medium Income","High Income"))</f>
        <v>Low Income</v>
      </c>
      <c r="J646" s="1">
        <f>Table1[[#This Row],[LoanAmount]]/Table1[[#This Row],[Income]]</f>
        <v>0.10793231611893583</v>
      </c>
    </row>
    <row r="647" spans="1:10" x14ac:dyDescent="0.3">
      <c r="A647">
        <v>781</v>
      </c>
      <c r="B647">
        <v>42</v>
      </c>
      <c r="C647" t="s">
        <v>8</v>
      </c>
      <c r="D647">
        <v>65331</v>
      </c>
      <c r="E647">
        <v>14331</v>
      </c>
      <c r="F647">
        <v>765</v>
      </c>
      <c r="G647" t="s">
        <v>12</v>
      </c>
      <c r="H647" t="s">
        <v>14</v>
      </c>
      <c r="I647" t="str">
        <f>IF(Table1[[#This Row],[Income]]&lt;=30000, "Low Income", IF(Table1[[#This Row],[Income]]&lt;=60000,"Medium Income","High Income"))</f>
        <v>High Income</v>
      </c>
      <c r="J647" s="1">
        <f>Table1[[#This Row],[LoanAmount]]/Table1[[#This Row],[Income]]</f>
        <v>0.21935987509758001</v>
      </c>
    </row>
    <row r="648" spans="1:10" x14ac:dyDescent="0.3">
      <c r="A648">
        <v>782</v>
      </c>
      <c r="B648">
        <v>54</v>
      </c>
      <c r="C648" t="s">
        <v>11</v>
      </c>
      <c r="D648">
        <v>43861</v>
      </c>
      <c r="E648">
        <v>2960</v>
      </c>
      <c r="F648">
        <v>468</v>
      </c>
      <c r="G648" t="s">
        <v>9</v>
      </c>
      <c r="H648" t="s">
        <v>10</v>
      </c>
      <c r="I648" t="str">
        <f>IF(Table1[[#This Row],[Income]]&lt;=30000, "Low Income", IF(Table1[[#This Row],[Income]]&lt;=60000,"Medium Income","High Income"))</f>
        <v>Medium Income</v>
      </c>
      <c r="J648" s="1">
        <f>Table1[[#This Row],[LoanAmount]]/Table1[[#This Row],[Income]]</f>
        <v>6.7485921433619839E-2</v>
      </c>
    </row>
    <row r="649" spans="1:10" x14ac:dyDescent="0.3">
      <c r="A649">
        <v>783</v>
      </c>
      <c r="B649">
        <v>28</v>
      </c>
      <c r="C649" t="s">
        <v>11</v>
      </c>
      <c r="D649">
        <v>43141</v>
      </c>
      <c r="E649">
        <v>1557</v>
      </c>
      <c r="F649">
        <v>698</v>
      </c>
      <c r="G649" t="s">
        <v>12</v>
      </c>
      <c r="H649" t="s">
        <v>13</v>
      </c>
      <c r="I649" t="str">
        <f>IF(Table1[[#This Row],[Income]]&lt;=30000, "Low Income", IF(Table1[[#This Row],[Income]]&lt;=60000,"Medium Income","High Income"))</f>
        <v>Medium Income</v>
      </c>
      <c r="J649" s="1">
        <f>Table1[[#This Row],[LoanAmount]]/Table1[[#This Row],[Income]]</f>
        <v>3.6090957557775666E-2</v>
      </c>
    </row>
    <row r="650" spans="1:10" x14ac:dyDescent="0.3">
      <c r="A650">
        <v>784</v>
      </c>
      <c r="B650">
        <v>39</v>
      </c>
      <c r="C650" t="s">
        <v>11</v>
      </c>
      <c r="D650">
        <v>24074</v>
      </c>
      <c r="E650">
        <v>16883</v>
      </c>
      <c r="F650">
        <v>831</v>
      </c>
      <c r="G650" t="s">
        <v>9</v>
      </c>
      <c r="H650" t="s">
        <v>14</v>
      </c>
      <c r="I650" t="str">
        <f>IF(Table1[[#This Row],[Income]]&lt;=30000, "Low Income", IF(Table1[[#This Row],[Income]]&lt;=60000,"Medium Income","High Income"))</f>
        <v>Low Income</v>
      </c>
      <c r="J650" s="1">
        <f>Table1[[#This Row],[LoanAmount]]/Table1[[#This Row],[Income]]</f>
        <v>0.70129600398770453</v>
      </c>
    </row>
    <row r="651" spans="1:10" x14ac:dyDescent="0.3">
      <c r="A651">
        <v>785</v>
      </c>
      <c r="B651">
        <v>57</v>
      </c>
      <c r="C651" t="s">
        <v>11</v>
      </c>
      <c r="D651">
        <v>21406</v>
      </c>
      <c r="E651">
        <v>14893</v>
      </c>
      <c r="F651">
        <v>689</v>
      </c>
      <c r="G651" t="s">
        <v>9</v>
      </c>
      <c r="H651" t="s">
        <v>13</v>
      </c>
      <c r="I651" t="str">
        <f>IF(Table1[[#This Row],[Income]]&lt;=30000, "Low Income", IF(Table1[[#This Row],[Income]]&lt;=60000,"Medium Income","High Income"))</f>
        <v>Low Income</v>
      </c>
      <c r="J651" s="1">
        <f>Table1[[#This Row],[LoanAmount]]/Table1[[#This Row],[Income]]</f>
        <v>0.69573951228627484</v>
      </c>
    </row>
    <row r="652" spans="1:10" x14ac:dyDescent="0.3">
      <c r="A652">
        <v>788</v>
      </c>
      <c r="B652">
        <v>54</v>
      </c>
      <c r="C652" t="s">
        <v>8</v>
      </c>
      <c r="D652">
        <v>38291</v>
      </c>
      <c r="E652">
        <v>6867</v>
      </c>
      <c r="F652">
        <v>460</v>
      </c>
      <c r="G652" t="s">
        <v>9</v>
      </c>
      <c r="H652" t="s">
        <v>10</v>
      </c>
      <c r="I652" t="str">
        <f>IF(Table1[[#This Row],[Income]]&lt;=30000, "Low Income", IF(Table1[[#This Row],[Income]]&lt;=60000,"Medium Income","High Income"))</f>
        <v>Medium Income</v>
      </c>
      <c r="J652" s="1">
        <f>Table1[[#This Row],[LoanAmount]]/Table1[[#This Row],[Income]]</f>
        <v>0.17933718106082369</v>
      </c>
    </row>
    <row r="653" spans="1:10" x14ac:dyDescent="0.3">
      <c r="A653">
        <v>789</v>
      </c>
      <c r="B653">
        <v>26</v>
      </c>
      <c r="C653" t="s">
        <v>8</v>
      </c>
      <c r="D653">
        <v>56568</v>
      </c>
      <c r="E653">
        <v>13869</v>
      </c>
      <c r="F653">
        <v>833</v>
      </c>
      <c r="G653" t="s">
        <v>12</v>
      </c>
      <c r="H653" t="s">
        <v>14</v>
      </c>
      <c r="I653" t="str">
        <f>IF(Table1[[#This Row],[Income]]&lt;=30000, "Low Income", IF(Table1[[#This Row],[Income]]&lt;=60000,"Medium Income","High Income"))</f>
        <v>Medium Income</v>
      </c>
      <c r="J653" s="1">
        <f>Table1[[#This Row],[LoanAmount]]/Table1[[#This Row],[Income]]</f>
        <v>0.24517394993635977</v>
      </c>
    </row>
    <row r="654" spans="1:10" x14ac:dyDescent="0.3">
      <c r="A654">
        <v>791</v>
      </c>
      <c r="B654">
        <v>53</v>
      </c>
      <c r="C654" t="s">
        <v>11</v>
      </c>
      <c r="D654">
        <v>61851</v>
      </c>
      <c r="E654">
        <v>13982</v>
      </c>
      <c r="F654">
        <v>713</v>
      </c>
      <c r="G654" t="s">
        <v>12</v>
      </c>
      <c r="H654" t="s">
        <v>13</v>
      </c>
      <c r="I654" t="str">
        <f>IF(Table1[[#This Row],[Income]]&lt;=30000, "Low Income", IF(Table1[[#This Row],[Income]]&lt;=60000,"Medium Income","High Income"))</f>
        <v>High Income</v>
      </c>
      <c r="J654" s="1">
        <f>Table1[[#This Row],[LoanAmount]]/Table1[[#This Row],[Income]]</f>
        <v>0.22605940081809511</v>
      </c>
    </row>
    <row r="655" spans="1:10" x14ac:dyDescent="0.3">
      <c r="A655">
        <v>792</v>
      </c>
      <c r="B655">
        <v>42</v>
      </c>
      <c r="C655" t="s">
        <v>11</v>
      </c>
      <c r="D655">
        <v>49406</v>
      </c>
      <c r="E655">
        <v>8929</v>
      </c>
      <c r="F655">
        <v>560</v>
      </c>
      <c r="G655" t="s">
        <v>9</v>
      </c>
      <c r="H655" t="s">
        <v>10</v>
      </c>
      <c r="I655" t="str">
        <f>IF(Table1[[#This Row],[Income]]&lt;=30000, "Low Income", IF(Table1[[#This Row],[Income]]&lt;=60000,"Medium Income","High Income"))</f>
        <v>Medium Income</v>
      </c>
      <c r="J655" s="1">
        <f>Table1[[#This Row],[LoanAmount]]/Table1[[#This Row],[Income]]</f>
        <v>0.18072703720195929</v>
      </c>
    </row>
    <row r="656" spans="1:10" x14ac:dyDescent="0.3">
      <c r="A656">
        <v>793</v>
      </c>
      <c r="B656">
        <v>41</v>
      </c>
      <c r="C656" t="s">
        <v>8</v>
      </c>
      <c r="D656">
        <v>69823</v>
      </c>
      <c r="E656">
        <v>6347</v>
      </c>
      <c r="F656">
        <v>730</v>
      </c>
      <c r="G656" t="s">
        <v>12</v>
      </c>
      <c r="H656" t="s">
        <v>13</v>
      </c>
      <c r="I656" t="str">
        <f>IF(Table1[[#This Row],[Income]]&lt;=30000, "Low Income", IF(Table1[[#This Row],[Income]]&lt;=60000,"Medium Income","High Income"))</f>
        <v>High Income</v>
      </c>
      <c r="J656" s="1">
        <f>Table1[[#This Row],[LoanAmount]]/Table1[[#This Row],[Income]]</f>
        <v>9.0901278948197592E-2</v>
      </c>
    </row>
    <row r="657" spans="1:10" x14ac:dyDescent="0.3">
      <c r="A657">
        <v>794</v>
      </c>
      <c r="B657">
        <v>26</v>
      </c>
      <c r="C657" t="s">
        <v>11</v>
      </c>
      <c r="D657">
        <v>38312</v>
      </c>
      <c r="E657">
        <v>8269</v>
      </c>
      <c r="F657">
        <v>415</v>
      </c>
      <c r="G657" t="s">
        <v>9</v>
      </c>
      <c r="H657" t="s">
        <v>10</v>
      </c>
      <c r="I657" t="str">
        <f>IF(Table1[[#This Row],[Income]]&lt;=30000, "Low Income", IF(Table1[[#This Row],[Income]]&lt;=60000,"Medium Income","High Income"))</f>
        <v>Medium Income</v>
      </c>
      <c r="J657" s="1">
        <f>Table1[[#This Row],[LoanAmount]]/Table1[[#This Row],[Income]]</f>
        <v>0.21583315932344957</v>
      </c>
    </row>
    <row r="658" spans="1:10" x14ac:dyDescent="0.3">
      <c r="A658">
        <v>795</v>
      </c>
      <c r="B658">
        <v>26</v>
      </c>
      <c r="C658" t="s">
        <v>11</v>
      </c>
      <c r="D658">
        <v>58108</v>
      </c>
      <c r="E658">
        <v>14527</v>
      </c>
      <c r="F658">
        <v>737</v>
      </c>
      <c r="G658" t="s">
        <v>12</v>
      </c>
      <c r="H658" t="s">
        <v>13</v>
      </c>
      <c r="I658" t="str">
        <f>IF(Table1[[#This Row],[Income]]&lt;=30000, "Low Income", IF(Table1[[#This Row],[Income]]&lt;=60000,"Medium Income","High Income"))</f>
        <v>Medium Income</v>
      </c>
      <c r="J658" s="1">
        <f>Table1[[#This Row],[LoanAmount]]/Table1[[#This Row],[Income]]</f>
        <v>0.25</v>
      </c>
    </row>
    <row r="659" spans="1:10" x14ac:dyDescent="0.3">
      <c r="A659">
        <v>796</v>
      </c>
      <c r="B659">
        <v>24</v>
      </c>
      <c r="C659" t="s">
        <v>8</v>
      </c>
      <c r="D659">
        <v>16382</v>
      </c>
      <c r="E659">
        <v>3454</v>
      </c>
      <c r="F659">
        <v>493</v>
      </c>
      <c r="G659" t="s">
        <v>9</v>
      </c>
      <c r="H659" t="s">
        <v>10</v>
      </c>
      <c r="I659" t="str">
        <f>IF(Table1[[#This Row],[Income]]&lt;=30000, "Low Income", IF(Table1[[#This Row],[Income]]&lt;=60000,"Medium Income","High Income"))</f>
        <v>Low Income</v>
      </c>
      <c r="J659" s="1">
        <f>Table1[[#This Row],[LoanAmount]]/Table1[[#This Row],[Income]]</f>
        <v>0.21084116713466</v>
      </c>
    </row>
    <row r="660" spans="1:10" x14ac:dyDescent="0.3">
      <c r="A660">
        <v>797</v>
      </c>
      <c r="B660">
        <v>50</v>
      </c>
      <c r="C660" t="s">
        <v>8</v>
      </c>
      <c r="D660">
        <v>49171</v>
      </c>
      <c r="E660">
        <v>19330</v>
      </c>
      <c r="F660">
        <v>703</v>
      </c>
      <c r="G660" t="s">
        <v>12</v>
      </c>
      <c r="H660" t="s">
        <v>13</v>
      </c>
      <c r="I660" t="str">
        <f>IF(Table1[[#This Row],[Income]]&lt;=30000, "Low Income", IF(Table1[[#This Row],[Income]]&lt;=60000,"Medium Income","High Income"))</f>
        <v>Medium Income</v>
      </c>
      <c r="J660" s="1">
        <f>Table1[[#This Row],[LoanAmount]]/Table1[[#This Row],[Income]]</f>
        <v>0.39311789469402697</v>
      </c>
    </row>
    <row r="661" spans="1:10" x14ac:dyDescent="0.3">
      <c r="A661">
        <v>798</v>
      </c>
      <c r="B661">
        <v>31</v>
      </c>
      <c r="C661" t="s">
        <v>11</v>
      </c>
      <c r="D661">
        <v>56779</v>
      </c>
      <c r="E661">
        <v>13991</v>
      </c>
      <c r="F661">
        <v>537</v>
      </c>
      <c r="G661" t="s">
        <v>9</v>
      </c>
      <c r="H661" t="s">
        <v>10</v>
      </c>
      <c r="I661" t="str">
        <f>IF(Table1[[#This Row],[Income]]&lt;=30000, "Low Income", IF(Table1[[#This Row],[Income]]&lt;=60000,"Medium Income","High Income"))</f>
        <v>Medium Income</v>
      </c>
      <c r="J661" s="1">
        <f>Table1[[#This Row],[LoanAmount]]/Table1[[#This Row],[Income]]</f>
        <v>0.2464115253879075</v>
      </c>
    </row>
    <row r="662" spans="1:10" x14ac:dyDescent="0.3">
      <c r="A662">
        <v>799</v>
      </c>
      <c r="B662">
        <v>50</v>
      </c>
      <c r="C662" t="s">
        <v>11</v>
      </c>
      <c r="D662">
        <v>18292</v>
      </c>
      <c r="E662">
        <v>3808</v>
      </c>
      <c r="F662">
        <v>737</v>
      </c>
      <c r="G662" t="s">
        <v>9</v>
      </c>
      <c r="H662" t="s">
        <v>13</v>
      </c>
      <c r="I662" t="str">
        <f>IF(Table1[[#This Row],[Income]]&lt;=30000, "Low Income", IF(Table1[[#This Row],[Income]]&lt;=60000,"Medium Income","High Income"))</f>
        <v>Low Income</v>
      </c>
      <c r="J662" s="1">
        <f>Table1[[#This Row],[LoanAmount]]/Table1[[#This Row],[Income]]</f>
        <v>0.20817843866171004</v>
      </c>
    </row>
    <row r="663" spans="1:10" x14ac:dyDescent="0.3">
      <c r="A663">
        <v>800</v>
      </c>
      <c r="B663">
        <v>51</v>
      </c>
      <c r="C663" t="s">
        <v>11</v>
      </c>
      <c r="D663">
        <v>48500</v>
      </c>
      <c r="E663">
        <v>7642</v>
      </c>
      <c r="F663">
        <v>437</v>
      </c>
      <c r="G663" t="s">
        <v>9</v>
      </c>
      <c r="H663" t="s">
        <v>10</v>
      </c>
      <c r="I663" t="str">
        <f>IF(Table1[[#This Row],[Income]]&lt;=30000, "Low Income", IF(Table1[[#This Row],[Income]]&lt;=60000,"Medium Income","High Income"))</f>
        <v>Medium Income</v>
      </c>
      <c r="J663" s="1">
        <f>Table1[[#This Row],[LoanAmount]]/Table1[[#This Row],[Income]]</f>
        <v>0.15756701030927836</v>
      </c>
    </row>
    <row r="664" spans="1:10" x14ac:dyDescent="0.3">
      <c r="A664">
        <v>802</v>
      </c>
      <c r="B664">
        <v>29</v>
      </c>
      <c r="C664" t="s">
        <v>11</v>
      </c>
      <c r="D664">
        <v>27411</v>
      </c>
      <c r="E664">
        <v>4536</v>
      </c>
      <c r="F664">
        <v>674</v>
      </c>
      <c r="G664" t="s">
        <v>9</v>
      </c>
      <c r="H664" t="s">
        <v>13</v>
      </c>
      <c r="I664" t="str">
        <f>IF(Table1[[#This Row],[Income]]&lt;=30000, "Low Income", IF(Table1[[#This Row],[Income]]&lt;=60000,"Medium Income","High Income"))</f>
        <v>Low Income</v>
      </c>
      <c r="J664" s="1">
        <f>Table1[[#This Row],[LoanAmount]]/Table1[[#This Row],[Income]]</f>
        <v>0.16548101127284667</v>
      </c>
    </row>
    <row r="665" spans="1:10" x14ac:dyDescent="0.3">
      <c r="A665">
        <v>804</v>
      </c>
      <c r="B665">
        <v>51</v>
      </c>
      <c r="C665" t="s">
        <v>8</v>
      </c>
      <c r="D665">
        <v>67454</v>
      </c>
      <c r="E665">
        <v>4802</v>
      </c>
      <c r="F665">
        <v>842</v>
      </c>
      <c r="G665" t="s">
        <v>12</v>
      </c>
      <c r="H665" t="s">
        <v>14</v>
      </c>
      <c r="I665" t="str">
        <f>IF(Table1[[#This Row],[Income]]&lt;=30000, "Low Income", IF(Table1[[#This Row],[Income]]&lt;=60000,"Medium Income","High Income"))</f>
        <v>High Income</v>
      </c>
      <c r="J665" s="1">
        <f>Table1[[#This Row],[LoanAmount]]/Table1[[#This Row],[Income]]</f>
        <v>7.1189254899635304E-2</v>
      </c>
    </row>
    <row r="666" spans="1:10" x14ac:dyDescent="0.3">
      <c r="A666">
        <v>805</v>
      </c>
      <c r="B666">
        <v>57</v>
      </c>
      <c r="C666" t="s">
        <v>8</v>
      </c>
      <c r="D666">
        <v>72009</v>
      </c>
      <c r="E666">
        <v>19354</v>
      </c>
      <c r="F666">
        <v>718</v>
      </c>
      <c r="G666" t="s">
        <v>12</v>
      </c>
      <c r="H666" t="s">
        <v>13</v>
      </c>
      <c r="I666" t="str">
        <f>IF(Table1[[#This Row],[Income]]&lt;=30000, "Low Income", IF(Table1[[#This Row],[Income]]&lt;=60000,"Medium Income","High Income"))</f>
        <v>High Income</v>
      </c>
      <c r="J666" s="1">
        <f>Table1[[#This Row],[LoanAmount]]/Table1[[#This Row],[Income]]</f>
        <v>0.26877195906067297</v>
      </c>
    </row>
    <row r="667" spans="1:10" x14ac:dyDescent="0.3">
      <c r="A667">
        <v>807</v>
      </c>
      <c r="B667">
        <v>44</v>
      </c>
      <c r="C667" t="s">
        <v>11</v>
      </c>
      <c r="D667">
        <v>57468</v>
      </c>
      <c r="E667">
        <v>10094</v>
      </c>
      <c r="F667">
        <v>573</v>
      </c>
      <c r="G667" t="s">
        <v>9</v>
      </c>
      <c r="H667" t="s">
        <v>10</v>
      </c>
      <c r="I667" t="str">
        <f>IF(Table1[[#This Row],[Income]]&lt;=30000, "Low Income", IF(Table1[[#This Row],[Income]]&lt;=60000,"Medium Income","High Income"))</f>
        <v>Medium Income</v>
      </c>
      <c r="J667" s="1">
        <f>Table1[[#This Row],[LoanAmount]]/Table1[[#This Row],[Income]]</f>
        <v>0.17564557666875477</v>
      </c>
    </row>
    <row r="668" spans="1:10" x14ac:dyDescent="0.3">
      <c r="A668">
        <v>808</v>
      </c>
      <c r="B668">
        <v>51</v>
      </c>
      <c r="C668" t="s">
        <v>8</v>
      </c>
      <c r="D668">
        <v>47371</v>
      </c>
      <c r="E668">
        <v>1364</v>
      </c>
      <c r="F668">
        <v>786</v>
      </c>
      <c r="G668" t="s">
        <v>12</v>
      </c>
      <c r="H668" t="s">
        <v>14</v>
      </c>
      <c r="I668" t="str">
        <f>IF(Table1[[#This Row],[Income]]&lt;=30000, "Low Income", IF(Table1[[#This Row],[Income]]&lt;=60000,"Medium Income","High Income"))</f>
        <v>Medium Income</v>
      </c>
      <c r="J668" s="1">
        <f>Table1[[#This Row],[LoanAmount]]/Table1[[#This Row],[Income]]</f>
        <v>2.8793987882881931E-2</v>
      </c>
    </row>
    <row r="669" spans="1:10" x14ac:dyDescent="0.3">
      <c r="A669">
        <v>809</v>
      </c>
      <c r="B669">
        <v>26</v>
      </c>
      <c r="C669" t="s">
        <v>11</v>
      </c>
      <c r="D669">
        <v>72022</v>
      </c>
      <c r="E669">
        <v>16688</v>
      </c>
      <c r="F669">
        <v>757</v>
      </c>
      <c r="G669" t="s">
        <v>12</v>
      </c>
      <c r="H669" t="s">
        <v>14</v>
      </c>
      <c r="I669" t="str">
        <f>IF(Table1[[#This Row],[Income]]&lt;=30000, "Low Income", IF(Table1[[#This Row],[Income]]&lt;=60000,"Medium Income","High Income"))</f>
        <v>High Income</v>
      </c>
      <c r="J669" s="1">
        <f>Table1[[#This Row],[LoanAmount]]/Table1[[#This Row],[Income]]</f>
        <v>0.23170697842325955</v>
      </c>
    </row>
    <row r="670" spans="1:10" x14ac:dyDescent="0.3">
      <c r="A670">
        <v>810</v>
      </c>
      <c r="B670">
        <v>22</v>
      </c>
      <c r="C670" t="s">
        <v>11</v>
      </c>
      <c r="D670">
        <v>20693</v>
      </c>
      <c r="E670">
        <v>2863</v>
      </c>
      <c r="F670">
        <v>720</v>
      </c>
      <c r="G670" t="s">
        <v>9</v>
      </c>
      <c r="H670" t="s">
        <v>13</v>
      </c>
      <c r="I670" t="str">
        <f>IF(Table1[[#This Row],[Income]]&lt;=30000, "Low Income", IF(Table1[[#This Row],[Income]]&lt;=60000,"Medium Income","High Income"))</f>
        <v>Low Income</v>
      </c>
      <c r="J670" s="1">
        <f>Table1[[#This Row],[LoanAmount]]/Table1[[#This Row],[Income]]</f>
        <v>0.13835596578553133</v>
      </c>
    </row>
    <row r="671" spans="1:10" x14ac:dyDescent="0.3">
      <c r="A671">
        <v>811</v>
      </c>
      <c r="B671">
        <v>40</v>
      </c>
      <c r="C671" t="s">
        <v>8</v>
      </c>
      <c r="D671">
        <v>48535</v>
      </c>
      <c r="E671">
        <v>17499</v>
      </c>
      <c r="F671">
        <v>775</v>
      </c>
      <c r="G671" t="s">
        <v>12</v>
      </c>
      <c r="H671" t="s">
        <v>14</v>
      </c>
      <c r="I671" t="str">
        <f>IF(Table1[[#This Row],[Income]]&lt;=30000, "Low Income", IF(Table1[[#This Row],[Income]]&lt;=60000,"Medium Income","High Income"))</f>
        <v>Medium Income</v>
      </c>
      <c r="J671" s="1">
        <f>Table1[[#This Row],[LoanAmount]]/Table1[[#This Row],[Income]]</f>
        <v>0.36054393736478829</v>
      </c>
    </row>
    <row r="672" spans="1:10" x14ac:dyDescent="0.3">
      <c r="A672">
        <v>812</v>
      </c>
      <c r="B672">
        <v>48</v>
      </c>
      <c r="C672" t="s">
        <v>11</v>
      </c>
      <c r="D672">
        <v>66196</v>
      </c>
      <c r="E672">
        <v>8084</v>
      </c>
      <c r="F672">
        <v>490</v>
      </c>
      <c r="G672" t="s">
        <v>9</v>
      </c>
      <c r="H672" t="s">
        <v>10</v>
      </c>
      <c r="I672" t="str">
        <f>IF(Table1[[#This Row],[Income]]&lt;=30000, "Low Income", IF(Table1[[#This Row],[Income]]&lt;=60000,"Medium Income","High Income"))</f>
        <v>High Income</v>
      </c>
      <c r="J672" s="1">
        <f>Table1[[#This Row],[LoanAmount]]/Table1[[#This Row],[Income]]</f>
        <v>0.1221221826092211</v>
      </c>
    </row>
    <row r="673" spans="1:10" x14ac:dyDescent="0.3">
      <c r="A673">
        <v>815</v>
      </c>
      <c r="B673">
        <v>35</v>
      </c>
      <c r="C673" t="s">
        <v>8</v>
      </c>
      <c r="D673">
        <v>45874</v>
      </c>
      <c r="E673">
        <v>16072</v>
      </c>
      <c r="F673">
        <v>578</v>
      </c>
      <c r="G673" t="s">
        <v>9</v>
      </c>
      <c r="H673" t="s">
        <v>10</v>
      </c>
      <c r="I673" t="str">
        <f>IF(Table1[[#This Row],[Income]]&lt;=30000, "Low Income", IF(Table1[[#This Row],[Income]]&lt;=60000,"Medium Income","High Income"))</f>
        <v>Medium Income</v>
      </c>
      <c r="J673" s="1">
        <f>Table1[[#This Row],[LoanAmount]]/Table1[[#This Row],[Income]]</f>
        <v>0.35035096132885729</v>
      </c>
    </row>
    <row r="674" spans="1:10" x14ac:dyDescent="0.3">
      <c r="A674">
        <v>816</v>
      </c>
      <c r="B674">
        <v>26</v>
      </c>
      <c r="C674" t="s">
        <v>8</v>
      </c>
      <c r="D674">
        <v>41715</v>
      </c>
      <c r="E674">
        <v>4935</v>
      </c>
      <c r="F674">
        <v>608</v>
      </c>
      <c r="G674" t="s">
        <v>9</v>
      </c>
      <c r="H674" t="s">
        <v>10</v>
      </c>
      <c r="I674" t="str">
        <f>IF(Table1[[#This Row],[Income]]&lt;=30000, "Low Income", IF(Table1[[#This Row],[Income]]&lt;=60000,"Medium Income","High Income"))</f>
        <v>Medium Income</v>
      </c>
      <c r="J674" s="1">
        <f>Table1[[#This Row],[LoanAmount]]/Table1[[#This Row],[Income]]</f>
        <v>0.11830276878820568</v>
      </c>
    </row>
    <row r="675" spans="1:10" x14ac:dyDescent="0.3">
      <c r="A675">
        <v>817</v>
      </c>
      <c r="B675">
        <v>50</v>
      </c>
      <c r="C675" t="s">
        <v>11</v>
      </c>
      <c r="D675">
        <v>42605</v>
      </c>
      <c r="E675">
        <v>14127</v>
      </c>
      <c r="F675">
        <v>472</v>
      </c>
      <c r="G675" t="s">
        <v>9</v>
      </c>
      <c r="H675" t="s">
        <v>10</v>
      </c>
      <c r="I675" t="str">
        <f>IF(Table1[[#This Row],[Income]]&lt;=30000, "Low Income", IF(Table1[[#This Row],[Income]]&lt;=60000,"Medium Income","High Income"))</f>
        <v>Medium Income</v>
      </c>
      <c r="J675" s="1">
        <f>Table1[[#This Row],[LoanAmount]]/Table1[[#This Row],[Income]]</f>
        <v>0.33158080037554277</v>
      </c>
    </row>
    <row r="676" spans="1:10" x14ac:dyDescent="0.3">
      <c r="A676">
        <v>818</v>
      </c>
      <c r="B676">
        <v>58</v>
      </c>
      <c r="C676" t="s">
        <v>8</v>
      </c>
      <c r="D676">
        <v>49317</v>
      </c>
      <c r="E676">
        <v>15482</v>
      </c>
      <c r="F676">
        <v>789</v>
      </c>
      <c r="G676" t="s">
        <v>12</v>
      </c>
      <c r="H676" t="s">
        <v>14</v>
      </c>
      <c r="I676" t="str">
        <f>IF(Table1[[#This Row],[Income]]&lt;=30000, "Low Income", IF(Table1[[#This Row],[Income]]&lt;=60000,"Medium Income","High Income"))</f>
        <v>Medium Income</v>
      </c>
      <c r="J676" s="1">
        <f>Table1[[#This Row],[LoanAmount]]/Table1[[#This Row],[Income]]</f>
        <v>0.31392826003203761</v>
      </c>
    </row>
    <row r="677" spans="1:10" x14ac:dyDescent="0.3">
      <c r="A677">
        <v>819</v>
      </c>
      <c r="B677">
        <v>22</v>
      </c>
      <c r="C677" t="s">
        <v>8</v>
      </c>
      <c r="D677">
        <v>46174</v>
      </c>
      <c r="E677">
        <v>8742</v>
      </c>
      <c r="F677">
        <v>506</v>
      </c>
      <c r="G677" t="s">
        <v>9</v>
      </c>
      <c r="H677" t="s">
        <v>10</v>
      </c>
      <c r="I677" t="str">
        <f>IF(Table1[[#This Row],[Income]]&lt;=30000, "Low Income", IF(Table1[[#This Row],[Income]]&lt;=60000,"Medium Income","High Income"))</f>
        <v>Medium Income</v>
      </c>
      <c r="J677" s="1">
        <f>Table1[[#This Row],[LoanAmount]]/Table1[[#This Row],[Income]]</f>
        <v>0.18932732706718067</v>
      </c>
    </row>
    <row r="678" spans="1:10" x14ac:dyDescent="0.3">
      <c r="A678">
        <v>820</v>
      </c>
      <c r="B678">
        <v>35</v>
      </c>
      <c r="C678" t="s">
        <v>11</v>
      </c>
      <c r="D678">
        <v>24956</v>
      </c>
      <c r="E678">
        <v>17165</v>
      </c>
      <c r="F678">
        <v>744</v>
      </c>
      <c r="G678" t="s">
        <v>9</v>
      </c>
      <c r="H678" t="s">
        <v>13</v>
      </c>
      <c r="I678" t="str">
        <f>IF(Table1[[#This Row],[Income]]&lt;=30000, "Low Income", IF(Table1[[#This Row],[Income]]&lt;=60000,"Medium Income","High Income"))</f>
        <v>Low Income</v>
      </c>
      <c r="J678" s="1">
        <f>Table1[[#This Row],[LoanAmount]]/Table1[[#This Row],[Income]]</f>
        <v>0.68781054656194907</v>
      </c>
    </row>
    <row r="679" spans="1:10" x14ac:dyDescent="0.3">
      <c r="A679">
        <v>821</v>
      </c>
      <c r="B679">
        <v>31</v>
      </c>
      <c r="C679" t="s">
        <v>8</v>
      </c>
      <c r="D679">
        <v>53908</v>
      </c>
      <c r="E679">
        <v>3490</v>
      </c>
      <c r="F679">
        <v>694</v>
      </c>
      <c r="G679" t="s">
        <v>12</v>
      </c>
      <c r="H679" t="s">
        <v>13</v>
      </c>
      <c r="I679" t="str">
        <f>IF(Table1[[#This Row],[Income]]&lt;=30000, "Low Income", IF(Table1[[#This Row],[Income]]&lt;=60000,"Medium Income","High Income"))</f>
        <v>Medium Income</v>
      </c>
      <c r="J679" s="1">
        <f>Table1[[#This Row],[LoanAmount]]/Table1[[#This Row],[Income]]</f>
        <v>6.4739927283520071E-2</v>
      </c>
    </row>
    <row r="680" spans="1:10" x14ac:dyDescent="0.3">
      <c r="A680">
        <v>822</v>
      </c>
      <c r="B680">
        <v>28</v>
      </c>
      <c r="C680" t="s">
        <v>8</v>
      </c>
      <c r="D680">
        <v>25837</v>
      </c>
      <c r="E680">
        <v>14324</v>
      </c>
      <c r="F680">
        <v>768</v>
      </c>
      <c r="G680" t="s">
        <v>9</v>
      </c>
      <c r="H680" t="s">
        <v>14</v>
      </c>
      <c r="I680" t="str">
        <f>IF(Table1[[#This Row],[Income]]&lt;=30000, "Low Income", IF(Table1[[#This Row],[Income]]&lt;=60000,"Medium Income","High Income"))</f>
        <v>Low Income</v>
      </c>
      <c r="J680" s="1">
        <f>Table1[[#This Row],[LoanAmount]]/Table1[[#This Row],[Income]]</f>
        <v>0.55439873050276733</v>
      </c>
    </row>
    <row r="681" spans="1:10" x14ac:dyDescent="0.3">
      <c r="A681">
        <v>823</v>
      </c>
      <c r="B681">
        <v>46</v>
      </c>
      <c r="C681" t="s">
        <v>8</v>
      </c>
      <c r="D681">
        <v>18716</v>
      </c>
      <c r="E681">
        <v>19108</v>
      </c>
      <c r="F681">
        <v>843</v>
      </c>
      <c r="G681" t="s">
        <v>9</v>
      </c>
      <c r="H681" t="s">
        <v>14</v>
      </c>
      <c r="I681" t="str">
        <f>IF(Table1[[#This Row],[Income]]&lt;=30000, "Low Income", IF(Table1[[#This Row],[Income]]&lt;=60000,"Medium Income","High Income"))</f>
        <v>Low Income</v>
      </c>
      <c r="J681" s="1">
        <f>Table1[[#This Row],[LoanAmount]]/Table1[[#This Row],[Income]]</f>
        <v>1.0209446462919427</v>
      </c>
    </row>
    <row r="682" spans="1:10" x14ac:dyDescent="0.3">
      <c r="A682">
        <v>824</v>
      </c>
      <c r="B682">
        <v>25</v>
      </c>
      <c r="C682" t="s">
        <v>11</v>
      </c>
      <c r="D682">
        <v>76949</v>
      </c>
      <c r="E682">
        <v>2137</v>
      </c>
      <c r="F682">
        <v>683</v>
      </c>
      <c r="G682" t="s">
        <v>12</v>
      </c>
      <c r="H682" t="s">
        <v>13</v>
      </c>
      <c r="I682" t="str">
        <f>IF(Table1[[#This Row],[Income]]&lt;=30000, "Low Income", IF(Table1[[#This Row],[Income]]&lt;=60000,"Medium Income","High Income"))</f>
        <v>High Income</v>
      </c>
      <c r="J682" s="1">
        <f>Table1[[#This Row],[LoanAmount]]/Table1[[#This Row],[Income]]</f>
        <v>2.7771640956997492E-2</v>
      </c>
    </row>
    <row r="683" spans="1:10" x14ac:dyDescent="0.3">
      <c r="A683">
        <v>825</v>
      </c>
      <c r="B683">
        <v>26</v>
      </c>
      <c r="C683" t="s">
        <v>11</v>
      </c>
      <c r="D683">
        <v>77646</v>
      </c>
      <c r="E683">
        <v>4420</v>
      </c>
      <c r="F683">
        <v>752</v>
      </c>
      <c r="G683" t="s">
        <v>12</v>
      </c>
      <c r="H683" t="s">
        <v>14</v>
      </c>
      <c r="I683" t="str">
        <f>IF(Table1[[#This Row],[Income]]&lt;=30000, "Low Income", IF(Table1[[#This Row],[Income]]&lt;=60000,"Medium Income","High Income"))</f>
        <v>High Income</v>
      </c>
      <c r="J683" s="1">
        <f>Table1[[#This Row],[LoanAmount]]/Table1[[#This Row],[Income]]</f>
        <v>5.6925018674497077E-2</v>
      </c>
    </row>
    <row r="684" spans="1:10" x14ac:dyDescent="0.3">
      <c r="A684">
        <v>826</v>
      </c>
      <c r="B684">
        <v>46</v>
      </c>
      <c r="C684" t="s">
        <v>11</v>
      </c>
      <c r="D684">
        <v>19481</v>
      </c>
      <c r="E684">
        <v>6845</v>
      </c>
      <c r="F684">
        <v>581</v>
      </c>
      <c r="G684" t="s">
        <v>9</v>
      </c>
      <c r="H684" t="s">
        <v>10</v>
      </c>
      <c r="I684" t="str">
        <f>IF(Table1[[#This Row],[Income]]&lt;=30000, "Low Income", IF(Table1[[#This Row],[Income]]&lt;=60000,"Medium Income","High Income"))</f>
        <v>Low Income</v>
      </c>
      <c r="J684" s="1">
        <f>Table1[[#This Row],[LoanAmount]]/Table1[[#This Row],[Income]]</f>
        <v>0.35136799958934345</v>
      </c>
    </row>
    <row r="685" spans="1:10" x14ac:dyDescent="0.3">
      <c r="A685">
        <v>827</v>
      </c>
      <c r="B685">
        <v>24</v>
      </c>
      <c r="C685" t="s">
        <v>11</v>
      </c>
      <c r="D685">
        <v>78037</v>
      </c>
      <c r="E685">
        <v>4906</v>
      </c>
      <c r="F685">
        <v>436</v>
      </c>
      <c r="G685" t="s">
        <v>9</v>
      </c>
      <c r="H685" t="s">
        <v>10</v>
      </c>
      <c r="I685" t="str">
        <f>IF(Table1[[#This Row],[Income]]&lt;=30000, "Low Income", IF(Table1[[#This Row],[Income]]&lt;=60000,"Medium Income","High Income"))</f>
        <v>High Income</v>
      </c>
      <c r="J685" s="1">
        <f>Table1[[#This Row],[LoanAmount]]/Table1[[#This Row],[Income]]</f>
        <v>6.2867614080500275E-2</v>
      </c>
    </row>
    <row r="686" spans="1:10" x14ac:dyDescent="0.3">
      <c r="A686">
        <v>828</v>
      </c>
      <c r="B686">
        <v>39</v>
      </c>
      <c r="C686" t="s">
        <v>8</v>
      </c>
      <c r="D686">
        <v>39282</v>
      </c>
      <c r="E686">
        <v>13413</v>
      </c>
      <c r="F686">
        <v>536</v>
      </c>
      <c r="G686" t="s">
        <v>9</v>
      </c>
      <c r="H686" t="s">
        <v>10</v>
      </c>
      <c r="I686" t="str">
        <f>IF(Table1[[#This Row],[Income]]&lt;=30000, "Low Income", IF(Table1[[#This Row],[Income]]&lt;=60000,"Medium Income","High Income"))</f>
        <v>Medium Income</v>
      </c>
      <c r="J686" s="1">
        <f>Table1[[#This Row],[LoanAmount]]/Table1[[#This Row],[Income]]</f>
        <v>0.34145410111501451</v>
      </c>
    </row>
    <row r="687" spans="1:10" x14ac:dyDescent="0.3">
      <c r="A687">
        <v>829</v>
      </c>
      <c r="B687">
        <v>40</v>
      </c>
      <c r="C687" t="s">
        <v>11</v>
      </c>
      <c r="D687">
        <v>21548</v>
      </c>
      <c r="E687">
        <v>1276</v>
      </c>
      <c r="F687">
        <v>737</v>
      </c>
      <c r="G687" t="s">
        <v>9</v>
      </c>
      <c r="H687" t="s">
        <v>13</v>
      </c>
      <c r="I687" t="str">
        <f>IF(Table1[[#This Row],[Income]]&lt;=30000, "Low Income", IF(Table1[[#This Row],[Income]]&lt;=60000,"Medium Income","High Income"))</f>
        <v>Low Income</v>
      </c>
      <c r="J687" s="1">
        <f>Table1[[#This Row],[LoanAmount]]/Table1[[#This Row],[Income]]</f>
        <v>5.9216632634119179E-2</v>
      </c>
    </row>
    <row r="688" spans="1:10" x14ac:dyDescent="0.3">
      <c r="A688">
        <v>830</v>
      </c>
      <c r="B688">
        <v>53</v>
      </c>
      <c r="C688" t="s">
        <v>11</v>
      </c>
      <c r="D688">
        <v>48500</v>
      </c>
      <c r="E688">
        <v>19383</v>
      </c>
      <c r="F688">
        <v>455</v>
      </c>
      <c r="G688" t="s">
        <v>9</v>
      </c>
      <c r="H688" t="s">
        <v>10</v>
      </c>
      <c r="I688" t="str">
        <f>IF(Table1[[#This Row],[Income]]&lt;=30000, "Low Income", IF(Table1[[#This Row],[Income]]&lt;=60000,"Medium Income","High Income"))</f>
        <v>Medium Income</v>
      </c>
      <c r="J688" s="1">
        <f>Table1[[#This Row],[LoanAmount]]/Table1[[#This Row],[Income]]</f>
        <v>0.39964948453608246</v>
      </c>
    </row>
    <row r="689" spans="1:10" x14ac:dyDescent="0.3">
      <c r="A689">
        <v>831</v>
      </c>
      <c r="B689">
        <v>40</v>
      </c>
      <c r="C689" t="s">
        <v>8</v>
      </c>
      <c r="D689">
        <v>52605</v>
      </c>
      <c r="E689">
        <v>18611</v>
      </c>
      <c r="F689">
        <v>586</v>
      </c>
      <c r="G689" t="s">
        <v>9</v>
      </c>
      <c r="H689" t="s">
        <v>10</v>
      </c>
      <c r="I689" t="str">
        <f>IF(Table1[[#This Row],[Income]]&lt;=30000, "Low Income", IF(Table1[[#This Row],[Income]]&lt;=60000,"Medium Income","High Income"))</f>
        <v>Medium Income</v>
      </c>
      <c r="J689" s="1">
        <f>Table1[[#This Row],[LoanAmount]]/Table1[[#This Row],[Income]]</f>
        <v>0.3537876627696987</v>
      </c>
    </row>
    <row r="690" spans="1:10" x14ac:dyDescent="0.3">
      <c r="A690">
        <v>832</v>
      </c>
      <c r="B690">
        <v>32</v>
      </c>
      <c r="C690" t="s">
        <v>8</v>
      </c>
      <c r="D690">
        <v>22758</v>
      </c>
      <c r="E690">
        <v>7337</v>
      </c>
      <c r="F690">
        <v>740</v>
      </c>
      <c r="G690" t="s">
        <v>9</v>
      </c>
      <c r="H690" t="s">
        <v>13</v>
      </c>
      <c r="I690" t="str">
        <f>IF(Table1[[#This Row],[Income]]&lt;=30000, "Low Income", IF(Table1[[#This Row],[Income]]&lt;=60000,"Medium Income","High Income"))</f>
        <v>Low Income</v>
      </c>
      <c r="J690" s="1">
        <f>Table1[[#This Row],[LoanAmount]]/Table1[[#This Row],[Income]]</f>
        <v>0.32239212584585641</v>
      </c>
    </row>
    <row r="691" spans="1:10" x14ac:dyDescent="0.3">
      <c r="A691">
        <v>834</v>
      </c>
      <c r="B691">
        <v>46</v>
      </c>
      <c r="C691" t="s">
        <v>11</v>
      </c>
      <c r="D691">
        <v>38177</v>
      </c>
      <c r="E691">
        <v>16906</v>
      </c>
      <c r="F691">
        <v>844</v>
      </c>
      <c r="G691" t="s">
        <v>9</v>
      </c>
      <c r="H691" t="s">
        <v>14</v>
      </c>
      <c r="I691" t="str">
        <f>IF(Table1[[#This Row],[Income]]&lt;=30000, "Low Income", IF(Table1[[#This Row],[Income]]&lt;=60000,"Medium Income","High Income"))</f>
        <v>Medium Income</v>
      </c>
      <c r="J691" s="1">
        <f>Table1[[#This Row],[LoanAmount]]/Table1[[#This Row],[Income]]</f>
        <v>0.44283207166618643</v>
      </c>
    </row>
    <row r="692" spans="1:10" x14ac:dyDescent="0.3">
      <c r="A692">
        <v>835</v>
      </c>
      <c r="B692">
        <v>34</v>
      </c>
      <c r="C692" t="s">
        <v>11</v>
      </c>
      <c r="D692">
        <v>39022</v>
      </c>
      <c r="E692">
        <v>18079</v>
      </c>
      <c r="F692">
        <v>457</v>
      </c>
      <c r="G692" t="s">
        <v>9</v>
      </c>
      <c r="H692" t="s">
        <v>10</v>
      </c>
      <c r="I692" t="str">
        <f>IF(Table1[[#This Row],[Income]]&lt;=30000, "Low Income", IF(Table1[[#This Row],[Income]]&lt;=60000,"Medium Income","High Income"))</f>
        <v>Medium Income</v>
      </c>
      <c r="J692" s="1">
        <f>Table1[[#This Row],[LoanAmount]]/Table1[[#This Row],[Income]]</f>
        <v>0.46330275229357798</v>
      </c>
    </row>
    <row r="693" spans="1:10" x14ac:dyDescent="0.3">
      <c r="A693">
        <v>836</v>
      </c>
      <c r="B693">
        <v>58</v>
      </c>
      <c r="C693" t="s">
        <v>11</v>
      </c>
      <c r="D693">
        <v>55761</v>
      </c>
      <c r="E693">
        <v>13306</v>
      </c>
      <c r="F693">
        <v>762</v>
      </c>
      <c r="G693" t="s">
        <v>12</v>
      </c>
      <c r="H693" t="s">
        <v>14</v>
      </c>
      <c r="I693" t="str">
        <f>IF(Table1[[#This Row],[Income]]&lt;=30000, "Low Income", IF(Table1[[#This Row],[Income]]&lt;=60000,"Medium Income","High Income"))</f>
        <v>Medium Income</v>
      </c>
      <c r="J693" s="1">
        <f>Table1[[#This Row],[LoanAmount]]/Table1[[#This Row],[Income]]</f>
        <v>0.23862556266924911</v>
      </c>
    </row>
    <row r="694" spans="1:10" x14ac:dyDescent="0.3">
      <c r="A694">
        <v>837</v>
      </c>
      <c r="B694">
        <v>57</v>
      </c>
      <c r="C694" t="s">
        <v>8</v>
      </c>
      <c r="D694">
        <v>70159</v>
      </c>
      <c r="E694">
        <v>11503</v>
      </c>
      <c r="F694">
        <v>522</v>
      </c>
      <c r="G694" t="s">
        <v>9</v>
      </c>
      <c r="H694" t="s">
        <v>10</v>
      </c>
      <c r="I694" t="str">
        <f>IF(Table1[[#This Row],[Income]]&lt;=30000, "Low Income", IF(Table1[[#This Row],[Income]]&lt;=60000,"Medium Income","High Income"))</f>
        <v>High Income</v>
      </c>
      <c r="J694" s="1">
        <f>Table1[[#This Row],[LoanAmount]]/Table1[[#This Row],[Income]]</f>
        <v>0.16395615672971395</v>
      </c>
    </row>
    <row r="695" spans="1:10" x14ac:dyDescent="0.3">
      <c r="A695">
        <v>838</v>
      </c>
      <c r="B695">
        <v>31</v>
      </c>
      <c r="C695" t="s">
        <v>8</v>
      </c>
      <c r="D695">
        <v>20542</v>
      </c>
      <c r="E695">
        <v>5208</v>
      </c>
      <c r="F695">
        <v>587</v>
      </c>
      <c r="G695" t="s">
        <v>9</v>
      </c>
      <c r="H695" t="s">
        <v>10</v>
      </c>
      <c r="I695" t="str">
        <f>IF(Table1[[#This Row],[Income]]&lt;=30000, "Low Income", IF(Table1[[#This Row],[Income]]&lt;=60000,"Medium Income","High Income"))</f>
        <v>Low Income</v>
      </c>
      <c r="J695" s="1">
        <f>Table1[[#This Row],[LoanAmount]]/Table1[[#This Row],[Income]]</f>
        <v>0.25352935449323338</v>
      </c>
    </row>
    <row r="696" spans="1:10" x14ac:dyDescent="0.3">
      <c r="A696">
        <v>839</v>
      </c>
      <c r="B696">
        <v>56</v>
      </c>
      <c r="C696" t="s">
        <v>11</v>
      </c>
      <c r="D696">
        <v>40476</v>
      </c>
      <c r="E696">
        <v>12590</v>
      </c>
      <c r="F696">
        <v>629</v>
      </c>
      <c r="G696" t="s">
        <v>9</v>
      </c>
      <c r="H696" t="s">
        <v>10</v>
      </c>
      <c r="I696" t="str">
        <f>IF(Table1[[#This Row],[Income]]&lt;=30000, "Low Income", IF(Table1[[#This Row],[Income]]&lt;=60000,"Medium Income","High Income"))</f>
        <v>Medium Income</v>
      </c>
      <c r="J696" s="1">
        <f>Table1[[#This Row],[LoanAmount]]/Table1[[#This Row],[Income]]</f>
        <v>0.31104852258128274</v>
      </c>
    </row>
    <row r="697" spans="1:10" x14ac:dyDescent="0.3">
      <c r="A697">
        <v>840</v>
      </c>
      <c r="B697">
        <v>33</v>
      </c>
      <c r="C697" t="s">
        <v>8</v>
      </c>
      <c r="D697">
        <v>45784</v>
      </c>
      <c r="E697">
        <v>11886</v>
      </c>
      <c r="F697">
        <v>567</v>
      </c>
      <c r="G697" t="s">
        <v>9</v>
      </c>
      <c r="H697" t="s">
        <v>10</v>
      </c>
      <c r="I697" t="str">
        <f>IF(Table1[[#This Row],[Income]]&lt;=30000, "Low Income", IF(Table1[[#This Row],[Income]]&lt;=60000,"Medium Income","High Income"))</f>
        <v>Medium Income</v>
      </c>
      <c r="J697" s="1">
        <f>Table1[[#This Row],[LoanAmount]]/Table1[[#This Row],[Income]]</f>
        <v>0.2596103442250568</v>
      </c>
    </row>
    <row r="698" spans="1:10" x14ac:dyDescent="0.3">
      <c r="A698">
        <v>841</v>
      </c>
      <c r="B698">
        <v>23</v>
      </c>
      <c r="C698" t="s">
        <v>8</v>
      </c>
      <c r="D698">
        <v>75428</v>
      </c>
      <c r="E698">
        <v>13866</v>
      </c>
      <c r="F698">
        <v>819</v>
      </c>
      <c r="G698" t="s">
        <v>12</v>
      </c>
      <c r="H698" t="s">
        <v>14</v>
      </c>
      <c r="I698" t="str">
        <f>IF(Table1[[#This Row],[Income]]&lt;=30000, "Low Income", IF(Table1[[#This Row],[Income]]&lt;=60000,"Medium Income","High Income"))</f>
        <v>High Income</v>
      </c>
      <c r="J698" s="1">
        <f>Table1[[#This Row],[LoanAmount]]/Table1[[#This Row],[Income]]</f>
        <v>0.18383093811316753</v>
      </c>
    </row>
    <row r="699" spans="1:10" x14ac:dyDescent="0.3">
      <c r="A699">
        <v>843</v>
      </c>
      <c r="B699">
        <v>26</v>
      </c>
      <c r="C699" t="s">
        <v>11</v>
      </c>
      <c r="D699">
        <v>74353</v>
      </c>
      <c r="E699">
        <v>4363</v>
      </c>
      <c r="F699">
        <v>651</v>
      </c>
      <c r="G699" t="s">
        <v>9</v>
      </c>
      <c r="H699" t="s">
        <v>13</v>
      </c>
      <c r="I699" t="str">
        <f>IF(Table1[[#This Row],[Income]]&lt;=30000, "Low Income", IF(Table1[[#This Row],[Income]]&lt;=60000,"Medium Income","High Income"))</f>
        <v>High Income</v>
      </c>
      <c r="J699" s="1">
        <f>Table1[[#This Row],[LoanAmount]]/Table1[[#This Row],[Income]]</f>
        <v>5.8679542183906502E-2</v>
      </c>
    </row>
    <row r="700" spans="1:10" x14ac:dyDescent="0.3">
      <c r="A700">
        <v>844</v>
      </c>
      <c r="B700">
        <v>30</v>
      </c>
      <c r="C700" t="s">
        <v>8</v>
      </c>
      <c r="D700">
        <v>39817</v>
      </c>
      <c r="E700">
        <v>1024</v>
      </c>
      <c r="F700">
        <v>506</v>
      </c>
      <c r="G700" t="s">
        <v>9</v>
      </c>
      <c r="H700" t="s">
        <v>10</v>
      </c>
      <c r="I700" t="str">
        <f>IF(Table1[[#This Row],[Income]]&lt;=30000, "Low Income", IF(Table1[[#This Row],[Income]]&lt;=60000,"Medium Income","High Income"))</f>
        <v>Medium Income</v>
      </c>
      <c r="J700" s="1">
        <f>Table1[[#This Row],[LoanAmount]]/Table1[[#This Row],[Income]]</f>
        <v>2.5717658286661477E-2</v>
      </c>
    </row>
    <row r="701" spans="1:10" x14ac:dyDescent="0.3">
      <c r="A701">
        <v>845</v>
      </c>
      <c r="B701">
        <v>25</v>
      </c>
      <c r="C701" t="s">
        <v>8</v>
      </c>
      <c r="D701">
        <v>62596</v>
      </c>
      <c r="E701">
        <v>10764</v>
      </c>
      <c r="F701">
        <v>436</v>
      </c>
      <c r="G701" t="s">
        <v>9</v>
      </c>
      <c r="H701" t="s">
        <v>10</v>
      </c>
      <c r="I701" t="str">
        <f>IF(Table1[[#This Row],[Income]]&lt;=30000, "Low Income", IF(Table1[[#This Row],[Income]]&lt;=60000,"Medium Income","High Income"))</f>
        <v>High Income</v>
      </c>
      <c r="J701" s="1">
        <f>Table1[[#This Row],[LoanAmount]]/Table1[[#This Row],[Income]]</f>
        <v>0.1719598696402326</v>
      </c>
    </row>
    <row r="702" spans="1:10" x14ac:dyDescent="0.3">
      <c r="A702">
        <v>846</v>
      </c>
      <c r="B702">
        <v>43</v>
      </c>
      <c r="C702" t="s">
        <v>11</v>
      </c>
      <c r="D702">
        <v>71532</v>
      </c>
      <c r="E702">
        <v>10959</v>
      </c>
      <c r="F702">
        <v>734</v>
      </c>
      <c r="G702" t="s">
        <v>12</v>
      </c>
      <c r="H702" t="s">
        <v>13</v>
      </c>
      <c r="I702" t="str">
        <f>IF(Table1[[#This Row],[Income]]&lt;=30000, "Low Income", IF(Table1[[#This Row],[Income]]&lt;=60000,"Medium Income","High Income"))</f>
        <v>High Income</v>
      </c>
      <c r="J702" s="1">
        <f>Table1[[#This Row],[LoanAmount]]/Table1[[#This Row],[Income]]</f>
        <v>0.15320416037577589</v>
      </c>
    </row>
    <row r="703" spans="1:10" x14ac:dyDescent="0.3">
      <c r="A703">
        <v>848</v>
      </c>
      <c r="B703">
        <v>22</v>
      </c>
      <c r="C703" t="s">
        <v>8</v>
      </c>
      <c r="D703">
        <v>50153</v>
      </c>
      <c r="E703">
        <v>9068</v>
      </c>
      <c r="F703">
        <v>417</v>
      </c>
      <c r="G703" t="s">
        <v>9</v>
      </c>
      <c r="H703" t="s">
        <v>10</v>
      </c>
      <c r="I703" t="str">
        <f>IF(Table1[[#This Row],[Income]]&lt;=30000, "Low Income", IF(Table1[[#This Row],[Income]]&lt;=60000,"Medium Income","High Income"))</f>
        <v>Medium Income</v>
      </c>
      <c r="J703" s="1">
        <f>Table1[[#This Row],[LoanAmount]]/Table1[[#This Row],[Income]]</f>
        <v>0.18080673140191014</v>
      </c>
    </row>
    <row r="704" spans="1:10" x14ac:dyDescent="0.3">
      <c r="A704">
        <v>849</v>
      </c>
      <c r="B704">
        <v>33</v>
      </c>
      <c r="C704" t="s">
        <v>8</v>
      </c>
      <c r="D704">
        <v>62076</v>
      </c>
      <c r="E704">
        <v>19619</v>
      </c>
      <c r="F704">
        <v>753</v>
      </c>
      <c r="G704" t="s">
        <v>12</v>
      </c>
      <c r="H704" t="s">
        <v>14</v>
      </c>
      <c r="I704" t="str">
        <f>IF(Table1[[#This Row],[Income]]&lt;=30000, "Low Income", IF(Table1[[#This Row],[Income]]&lt;=60000,"Medium Income","High Income"))</f>
        <v>High Income</v>
      </c>
      <c r="J704" s="1">
        <f>Table1[[#This Row],[LoanAmount]]/Table1[[#This Row],[Income]]</f>
        <v>0.31604807010761005</v>
      </c>
    </row>
    <row r="705" spans="1:10" x14ac:dyDescent="0.3">
      <c r="A705">
        <v>850</v>
      </c>
      <c r="B705">
        <v>22</v>
      </c>
      <c r="C705" t="s">
        <v>11</v>
      </c>
      <c r="D705">
        <v>68420</v>
      </c>
      <c r="E705">
        <v>8295</v>
      </c>
      <c r="F705">
        <v>462</v>
      </c>
      <c r="G705" t="s">
        <v>9</v>
      </c>
      <c r="H705" t="s">
        <v>10</v>
      </c>
      <c r="I705" t="str">
        <f>IF(Table1[[#This Row],[Income]]&lt;=30000, "Low Income", IF(Table1[[#This Row],[Income]]&lt;=60000,"Medium Income","High Income"))</f>
        <v>High Income</v>
      </c>
      <c r="J705" s="1">
        <f>Table1[[#This Row],[LoanAmount]]/Table1[[#This Row],[Income]]</f>
        <v>0.12123648056123941</v>
      </c>
    </row>
    <row r="706" spans="1:10" x14ac:dyDescent="0.3">
      <c r="A706">
        <v>851</v>
      </c>
      <c r="B706">
        <v>40</v>
      </c>
      <c r="C706" t="s">
        <v>11</v>
      </c>
      <c r="D706">
        <v>15671</v>
      </c>
      <c r="E706">
        <v>9392</v>
      </c>
      <c r="F706">
        <v>549</v>
      </c>
      <c r="G706" t="s">
        <v>9</v>
      </c>
      <c r="H706" t="s">
        <v>10</v>
      </c>
      <c r="I706" t="str">
        <f>IF(Table1[[#This Row],[Income]]&lt;=30000, "Low Income", IF(Table1[[#This Row],[Income]]&lt;=60000,"Medium Income","High Income"))</f>
        <v>Low Income</v>
      </c>
      <c r="J706" s="1">
        <f>Table1[[#This Row],[LoanAmount]]/Table1[[#This Row],[Income]]</f>
        <v>0.59932359134707425</v>
      </c>
    </row>
    <row r="707" spans="1:10" x14ac:dyDescent="0.3">
      <c r="A707">
        <v>852</v>
      </c>
      <c r="B707">
        <v>21</v>
      </c>
      <c r="C707" t="s">
        <v>8</v>
      </c>
      <c r="D707">
        <v>15163</v>
      </c>
      <c r="E707">
        <v>12390</v>
      </c>
      <c r="F707">
        <v>538</v>
      </c>
      <c r="G707" t="s">
        <v>9</v>
      </c>
      <c r="H707" t="s">
        <v>10</v>
      </c>
      <c r="I707" t="str">
        <f>IF(Table1[[#This Row],[Income]]&lt;=30000, "Low Income", IF(Table1[[#This Row],[Income]]&lt;=60000,"Medium Income","High Income"))</f>
        <v>Low Income</v>
      </c>
      <c r="J707" s="1">
        <f>Table1[[#This Row],[LoanAmount]]/Table1[[#This Row],[Income]]</f>
        <v>0.81712062256809337</v>
      </c>
    </row>
    <row r="708" spans="1:10" x14ac:dyDescent="0.3">
      <c r="A708">
        <v>853</v>
      </c>
      <c r="B708">
        <v>57</v>
      </c>
      <c r="C708" t="s">
        <v>8</v>
      </c>
      <c r="D708">
        <v>56424</v>
      </c>
      <c r="E708">
        <v>9448</v>
      </c>
      <c r="F708">
        <v>585</v>
      </c>
      <c r="G708" t="s">
        <v>9</v>
      </c>
      <c r="H708" t="s">
        <v>10</v>
      </c>
      <c r="I708" t="str">
        <f>IF(Table1[[#This Row],[Income]]&lt;=30000, "Low Income", IF(Table1[[#This Row],[Income]]&lt;=60000,"Medium Income","High Income"))</f>
        <v>Medium Income</v>
      </c>
      <c r="J708" s="1">
        <f>Table1[[#This Row],[LoanAmount]]/Table1[[#This Row],[Income]]</f>
        <v>0.16744647667659152</v>
      </c>
    </row>
    <row r="709" spans="1:10" x14ac:dyDescent="0.3">
      <c r="A709">
        <v>854</v>
      </c>
      <c r="B709">
        <v>29</v>
      </c>
      <c r="C709" t="s">
        <v>8</v>
      </c>
      <c r="D709">
        <v>59002</v>
      </c>
      <c r="E709">
        <v>11433</v>
      </c>
      <c r="F709">
        <v>584</v>
      </c>
      <c r="G709" t="s">
        <v>9</v>
      </c>
      <c r="H709" t="s">
        <v>10</v>
      </c>
      <c r="I709" t="str">
        <f>IF(Table1[[#This Row],[Income]]&lt;=30000, "Low Income", IF(Table1[[#This Row],[Income]]&lt;=60000,"Medium Income","High Income"))</f>
        <v>Medium Income</v>
      </c>
      <c r="J709" s="1">
        <f>Table1[[#This Row],[LoanAmount]]/Table1[[#This Row],[Income]]</f>
        <v>0.19377309243754448</v>
      </c>
    </row>
    <row r="710" spans="1:10" x14ac:dyDescent="0.3">
      <c r="A710">
        <v>855</v>
      </c>
      <c r="B710">
        <v>37</v>
      </c>
      <c r="C710" t="s">
        <v>8</v>
      </c>
      <c r="D710">
        <v>68744</v>
      </c>
      <c r="E710">
        <v>16038</v>
      </c>
      <c r="F710">
        <v>604</v>
      </c>
      <c r="G710" t="s">
        <v>9</v>
      </c>
      <c r="H710" t="s">
        <v>10</v>
      </c>
      <c r="I710" t="str">
        <f>IF(Table1[[#This Row],[Income]]&lt;=30000, "Low Income", IF(Table1[[#This Row],[Income]]&lt;=60000,"Medium Income","High Income"))</f>
        <v>High Income</v>
      </c>
      <c r="J710" s="1">
        <f>Table1[[#This Row],[LoanAmount]]/Table1[[#This Row],[Income]]</f>
        <v>0.23330036075875712</v>
      </c>
    </row>
    <row r="711" spans="1:10" x14ac:dyDescent="0.3">
      <c r="A711">
        <v>856</v>
      </c>
      <c r="B711">
        <v>29</v>
      </c>
      <c r="C711" t="s">
        <v>11</v>
      </c>
      <c r="D711">
        <v>19795</v>
      </c>
      <c r="E711">
        <v>12528</v>
      </c>
      <c r="F711">
        <v>659</v>
      </c>
      <c r="G711" t="s">
        <v>9</v>
      </c>
      <c r="H711" t="s">
        <v>13</v>
      </c>
      <c r="I711" t="str">
        <f>IF(Table1[[#This Row],[Income]]&lt;=30000, "Low Income", IF(Table1[[#This Row],[Income]]&lt;=60000,"Medium Income","High Income"))</f>
        <v>Low Income</v>
      </c>
      <c r="J711" s="1">
        <f>Table1[[#This Row],[LoanAmount]]/Table1[[#This Row],[Income]]</f>
        <v>0.63288709270017685</v>
      </c>
    </row>
    <row r="712" spans="1:10" x14ac:dyDescent="0.3">
      <c r="A712">
        <v>857</v>
      </c>
      <c r="B712">
        <v>31</v>
      </c>
      <c r="C712" t="s">
        <v>8</v>
      </c>
      <c r="D712">
        <v>25634</v>
      </c>
      <c r="E712">
        <v>16743</v>
      </c>
      <c r="F712">
        <v>613</v>
      </c>
      <c r="G712" t="s">
        <v>9</v>
      </c>
      <c r="H712" t="s">
        <v>10</v>
      </c>
      <c r="I712" t="str">
        <f>IF(Table1[[#This Row],[Income]]&lt;=30000, "Low Income", IF(Table1[[#This Row],[Income]]&lt;=60000,"Medium Income","High Income"))</f>
        <v>Low Income</v>
      </c>
      <c r="J712" s="1">
        <f>Table1[[#This Row],[LoanAmount]]/Table1[[#This Row],[Income]]</f>
        <v>0.65315596473433724</v>
      </c>
    </row>
    <row r="713" spans="1:10" x14ac:dyDescent="0.3">
      <c r="A713">
        <v>858</v>
      </c>
      <c r="B713">
        <v>35</v>
      </c>
      <c r="C713" t="s">
        <v>8</v>
      </c>
      <c r="D713">
        <v>19798</v>
      </c>
      <c r="E713">
        <v>9605</v>
      </c>
      <c r="F713">
        <v>655</v>
      </c>
      <c r="G713" t="s">
        <v>9</v>
      </c>
      <c r="H713" t="s">
        <v>13</v>
      </c>
      <c r="I713" t="str">
        <f>IF(Table1[[#This Row],[Income]]&lt;=30000, "Low Income", IF(Table1[[#This Row],[Income]]&lt;=60000,"Medium Income","High Income"))</f>
        <v>Low Income</v>
      </c>
      <c r="J713" s="1">
        <f>Table1[[#This Row],[LoanAmount]]/Table1[[#This Row],[Income]]</f>
        <v>0.48515001515304579</v>
      </c>
    </row>
    <row r="714" spans="1:10" x14ac:dyDescent="0.3">
      <c r="A714">
        <v>861</v>
      </c>
      <c r="B714">
        <v>55</v>
      </c>
      <c r="C714" t="s">
        <v>11</v>
      </c>
      <c r="D714">
        <v>70039</v>
      </c>
      <c r="E714">
        <v>2098</v>
      </c>
      <c r="F714">
        <v>762</v>
      </c>
      <c r="G714" t="s">
        <v>12</v>
      </c>
      <c r="H714" t="s">
        <v>14</v>
      </c>
      <c r="I714" t="str">
        <f>IF(Table1[[#This Row],[Income]]&lt;=30000, "Low Income", IF(Table1[[#This Row],[Income]]&lt;=60000,"Medium Income","High Income"))</f>
        <v>High Income</v>
      </c>
      <c r="J714" s="1">
        <f>Table1[[#This Row],[LoanAmount]]/Table1[[#This Row],[Income]]</f>
        <v>2.9954739502277304E-2</v>
      </c>
    </row>
    <row r="715" spans="1:10" x14ac:dyDescent="0.3">
      <c r="A715">
        <v>863</v>
      </c>
      <c r="B715">
        <v>51</v>
      </c>
      <c r="C715" t="s">
        <v>8</v>
      </c>
      <c r="D715">
        <v>44300</v>
      </c>
      <c r="E715">
        <v>1187</v>
      </c>
      <c r="F715">
        <v>487</v>
      </c>
      <c r="G715" t="s">
        <v>9</v>
      </c>
      <c r="H715" t="s">
        <v>10</v>
      </c>
      <c r="I715" t="str">
        <f>IF(Table1[[#This Row],[Income]]&lt;=30000, "Low Income", IF(Table1[[#This Row],[Income]]&lt;=60000,"Medium Income","High Income"))</f>
        <v>Medium Income</v>
      </c>
      <c r="J715" s="1">
        <f>Table1[[#This Row],[LoanAmount]]/Table1[[#This Row],[Income]]</f>
        <v>2.6794582392776524E-2</v>
      </c>
    </row>
    <row r="716" spans="1:10" x14ac:dyDescent="0.3">
      <c r="A716">
        <v>864</v>
      </c>
      <c r="B716">
        <v>25</v>
      </c>
      <c r="C716" t="s">
        <v>11</v>
      </c>
      <c r="D716">
        <v>39345</v>
      </c>
      <c r="E716">
        <v>12948</v>
      </c>
      <c r="F716">
        <v>723</v>
      </c>
      <c r="G716" t="s">
        <v>12</v>
      </c>
      <c r="H716" t="s">
        <v>13</v>
      </c>
      <c r="I716" t="str">
        <f>IF(Table1[[#This Row],[Income]]&lt;=30000, "Low Income", IF(Table1[[#This Row],[Income]]&lt;=60000,"Medium Income","High Income"))</f>
        <v>Medium Income</v>
      </c>
      <c r="J716" s="1">
        <f>Table1[[#This Row],[LoanAmount]]/Table1[[#This Row],[Income]]</f>
        <v>0.3290888295844453</v>
      </c>
    </row>
    <row r="717" spans="1:10" x14ac:dyDescent="0.3">
      <c r="A717">
        <v>866</v>
      </c>
      <c r="B717">
        <v>31</v>
      </c>
      <c r="C717" t="s">
        <v>8</v>
      </c>
      <c r="D717">
        <v>53595</v>
      </c>
      <c r="E717">
        <v>3092</v>
      </c>
      <c r="F717">
        <v>528</v>
      </c>
      <c r="G717" t="s">
        <v>9</v>
      </c>
      <c r="H717" t="s">
        <v>10</v>
      </c>
      <c r="I717" t="str">
        <f>IF(Table1[[#This Row],[Income]]&lt;=30000, "Low Income", IF(Table1[[#This Row],[Income]]&lt;=60000,"Medium Income","High Income"))</f>
        <v>Medium Income</v>
      </c>
      <c r="J717" s="1">
        <f>Table1[[#This Row],[LoanAmount]]/Table1[[#This Row],[Income]]</f>
        <v>5.7691948875827972E-2</v>
      </c>
    </row>
    <row r="718" spans="1:10" x14ac:dyDescent="0.3">
      <c r="A718">
        <v>868</v>
      </c>
      <c r="B718">
        <v>54</v>
      </c>
      <c r="C718" t="s">
        <v>8</v>
      </c>
      <c r="D718">
        <v>78027</v>
      </c>
      <c r="E718">
        <v>6242</v>
      </c>
      <c r="F718">
        <v>402</v>
      </c>
      <c r="G718" t="s">
        <v>9</v>
      </c>
      <c r="H718" t="s">
        <v>10</v>
      </c>
      <c r="I718" t="str">
        <f>IF(Table1[[#This Row],[Income]]&lt;=30000, "Low Income", IF(Table1[[#This Row],[Income]]&lt;=60000,"Medium Income","High Income"))</f>
        <v>High Income</v>
      </c>
      <c r="J718" s="1">
        <f>Table1[[#This Row],[LoanAmount]]/Table1[[#This Row],[Income]]</f>
        <v>7.9997949427762186E-2</v>
      </c>
    </row>
    <row r="719" spans="1:10" x14ac:dyDescent="0.3">
      <c r="A719">
        <v>870</v>
      </c>
      <c r="B719">
        <v>55</v>
      </c>
      <c r="C719" t="s">
        <v>8</v>
      </c>
      <c r="D719">
        <v>43411</v>
      </c>
      <c r="E719">
        <v>6185</v>
      </c>
      <c r="F719">
        <v>641</v>
      </c>
      <c r="G719" t="s">
        <v>9</v>
      </c>
      <c r="H719" t="s">
        <v>10</v>
      </c>
      <c r="I719" t="str">
        <f>IF(Table1[[#This Row],[Income]]&lt;=30000, "Low Income", IF(Table1[[#This Row],[Income]]&lt;=60000,"Medium Income","High Income"))</f>
        <v>Medium Income</v>
      </c>
      <c r="J719" s="1">
        <f>Table1[[#This Row],[LoanAmount]]/Table1[[#This Row],[Income]]</f>
        <v>0.14247540945843221</v>
      </c>
    </row>
    <row r="720" spans="1:10" x14ac:dyDescent="0.3">
      <c r="A720">
        <v>871</v>
      </c>
      <c r="B720">
        <v>55</v>
      </c>
      <c r="C720" t="s">
        <v>11</v>
      </c>
      <c r="D720">
        <v>48361</v>
      </c>
      <c r="E720">
        <v>16271</v>
      </c>
      <c r="F720">
        <v>520</v>
      </c>
      <c r="G720" t="s">
        <v>9</v>
      </c>
      <c r="H720" t="s">
        <v>10</v>
      </c>
      <c r="I720" t="str">
        <f>IF(Table1[[#This Row],[Income]]&lt;=30000, "Low Income", IF(Table1[[#This Row],[Income]]&lt;=60000,"Medium Income","High Income"))</f>
        <v>Medium Income</v>
      </c>
      <c r="J720" s="1">
        <f>Table1[[#This Row],[LoanAmount]]/Table1[[#This Row],[Income]]</f>
        <v>0.33644879138148509</v>
      </c>
    </row>
    <row r="721" spans="1:10" x14ac:dyDescent="0.3">
      <c r="A721">
        <v>872</v>
      </c>
      <c r="B721">
        <v>21</v>
      </c>
      <c r="C721" t="s">
        <v>11</v>
      </c>
      <c r="D721">
        <v>36223</v>
      </c>
      <c r="E721">
        <v>6776</v>
      </c>
      <c r="F721">
        <v>784</v>
      </c>
      <c r="G721" t="s">
        <v>12</v>
      </c>
      <c r="H721" t="s">
        <v>14</v>
      </c>
      <c r="I721" t="str">
        <f>IF(Table1[[#This Row],[Income]]&lt;=30000, "Low Income", IF(Table1[[#This Row],[Income]]&lt;=60000,"Medium Income","High Income"))</f>
        <v>Medium Income</v>
      </c>
      <c r="J721" s="1">
        <f>Table1[[#This Row],[LoanAmount]]/Table1[[#This Row],[Income]]</f>
        <v>0.18706346796234435</v>
      </c>
    </row>
    <row r="722" spans="1:10" x14ac:dyDescent="0.3">
      <c r="A722">
        <v>874</v>
      </c>
      <c r="B722">
        <v>49</v>
      </c>
      <c r="C722" t="s">
        <v>11</v>
      </c>
      <c r="D722">
        <v>29056</v>
      </c>
      <c r="E722">
        <v>8823</v>
      </c>
      <c r="F722">
        <v>437</v>
      </c>
      <c r="G722" t="s">
        <v>9</v>
      </c>
      <c r="H722" t="s">
        <v>10</v>
      </c>
      <c r="I722" t="str">
        <f>IF(Table1[[#This Row],[Income]]&lt;=30000, "Low Income", IF(Table1[[#This Row],[Income]]&lt;=60000,"Medium Income","High Income"))</f>
        <v>Low Income</v>
      </c>
      <c r="J722" s="1">
        <f>Table1[[#This Row],[LoanAmount]]/Table1[[#This Row],[Income]]</f>
        <v>0.30365501101321585</v>
      </c>
    </row>
    <row r="723" spans="1:10" x14ac:dyDescent="0.3">
      <c r="A723">
        <v>876</v>
      </c>
      <c r="B723">
        <v>31</v>
      </c>
      <c r="C723" t="s">
        <v>8</v>
      </c>
      <c r="D723">
        <v>41035</v>
      </c>
      <c r="E723">
        <v>8355</v>
      </c>
      <c r="F723">
        <v>812</v>
      </c>
      <c r="G723" t="s">
        <v>12</v>
      </c>
      <c r="H723" t="s">
        <v>14</v>
      </c>
      <c r="I723" t="str">
        <f>IF(Table1[[#This Row],[Income]]&lt;=30000, "Low Income", IF(Table1[[#This Row],[Income]]&lt;=60000,"Medium Income","High Income"))</f>
        <v>Medium Income</v>
      </c>
      <c r="J723" s="1">
        <f>Table1[[#This Row],[LoanAmount]]/Table1[[#This Row],[Income]]</f>
        <v>0.20360667722675765</v>
      </c>
    </row>
    <row r="724" spans="1:10" x14ac:dyDescent="0.3">
      <c r="A724">
        <v>880</v>
      </c>
      <c r="B724">
        <v>55</v>
      </c>
      <c r="C724" t="s">
        <v>11</v>
      </c>
      <c r="D724">
        <v>70316</v>
      </c>
      <c r="E724">
        <v>14324</v>
      </c>
      <c r="F724">
        <v>420</v>
      </c>
      <c r="G724" t="s">
        <v>9</v>
      </c>
      <c r="H724" t="s">
        <v>10</v>
      </c>
      <c r="I724" t="str">
        <f>IF(Table1[[#This Row],[Income]]&lt;=30000, "Low Income", IF(Table1[[#This Row],[Income]]&lt;=60000,"Medium Income","High Income"))</f>
        <v>High Income</v>
      </c>
      <c r="J724" s="1">
        <f>Table1[[#This Row],[LoanAmount]]/Table1[[#This Row],[Income]]</f>
        <v>0.20370897093122475</v>
      </c>
    </row>
    <row r="725" spans="1:10" x14ac:dyDescent="0.3">
      <c r="A725">
        <v>881</v>
      </c>
      <c r="B725">
        <v>41</v>
      </c>
      <c r="C725" t="s">
        <v>11</v>
      </c>
      <c r="D725">
        <v>79041</v>
      </c>
      <c r="E725">
        <v>11350</v>
      </c>
      <c r="F725">
        <v>641</v>
      </c>
      <c r="G725" t="s">
        <v>9</v>
      </c>
      <c r="H725" t="s">
        <v>10</v>
      </c>
      <c r="I725" t="str">
        <f>IF(Table1[[#This Row],[Income]]&lt;=30000, "Low Income", IF(Table1[[#This Row],[Income]]&lt;=60000,"Medium Income","High Income"))</f>
        <v>High Income</v>
      </c>
      <c r="J725" s="1">
        <f>Table1[[#This Row],[LoanAmount]]/Table1[[#This Row],[Income]]</f>
        <v>0.14359636138206752</v>
      </c>
    </row>
    <row r="726" spans="1:10" x14ac:dyDescent="0.3">
      <c r="A726">
        <v>882</v>
      </c>
      <c r="B726">
        <v>57</v>
      </c>
      <c r="C726" t="s">
        <v>8</v>
      </c>
      <c r="D726">
        <v>58404</v>
      </c>
      <c r="E726">
        <v>3555</v>
      </c>
      <c r="F726">
        <v>508</v>
      </c>
      <c r="G726" t="s">
        <v>9</v>
      </c>
      <c r="H726" t="s">
        <v>10</v>
      </c>
      <c r="I726" t="str">
        <f>IF(Table1[[#This Row],[Income]]&lt;=30000, "Low Income", IF(Table1[[#This Row],[Income]]&lt;=60000,"Medium Income","High Income"))</f>
        <v>Medium Income</v>
      </c>
      <c r="J726" s="1">
        <f>Table1[[#This Row],[LoanAmount]]/Table1[[#This Row],[Income]]</f>
        <v>6.0869118553523734E-2</v>
      </c>
    </row>
    <row r="727" spans="1:10" x14ac:dyDescent="0.3">
      <c r="A727">
        <v>885</v>
      </c>
      <c r="B727">
        <v>34</v>
      </c>
      <c r="C727" t="s">
        <v>11</v>
      </c>
      <c r="D727">
        <v>45911</v>
      </c>
      <c r="E727">
        <v>5727</v>
      </c>
      <c r="F727">
        <v>482</v>
      </c>
      <c r="G727" t="s">
        <v>9</v>
      </c>
      <c r="H727" t="s">
        <v>10</v>
      </c>
      <c r="I727" t="str">
        <f>IF(Table1[[#This Row],[Income]]&lt;=30000, "Low Income", IF(Table1[[#This Row],[Income]]&lt;=60000,"Medium Income","High Income"))</f>
        <v>Medium Income</v>
      </c>
      <c r="J727" s="1">
        <f>Table1[[#This Row],[LoanAmount]]/Table1[[#This Row],[Income]]</f>
        <v>0.12474134738951449</v>
      </c>
    </row>
    <row r="728" spans="1:10" x14ac:dyDescent="0.3">
      <c r="A728">
        <v>887</v>
      </c>
      <c r="B728">
        <v>24</v>
      </c>
      <c r="C728" t="s">
        <v>11</v>
      </c>
      <c r="D728">
        <v>18191</v>
      </c>
      <c r="E728">
        <v>4701</v>
      </c>
      <c r="F728">
        <v>468</v>
      </c>
      <c r="G728" t="s">
        <v>9</v>
      </c>
      <c r="H728" t="s">
        <v>10</v>
      </c>
      <c r="I728" t="str">
        <f>IF(Table1[[#This Row],[Income]]&lt;=30000, "Low Income", IF(Table1[[#This Row],[Income]]&lt;=60000,"Medium Income","High Income"))</f>
        <v>Low Income</v>
      </c>
      <c r="J728" s="1">
        <f>Table1[[#This Row],[LoanAmount]]/Table1[[#This Row],[Income]]</f>
        <v>0.25842449562970699</v>
      </c>
    </row>
    <row r="729" spans="1:10" x14ac:dyDescent="0.3">
      <c r="A729">
        <v>888</v>
      </c>
      <c r="B729">
        <v>45</v>
      </c>
      <c r="C729" t="s">
        <v>8</v>
      </c>
      <c r="D729">
        <v>48160</v>
      </c>
      <c r="E729">
        <v>3780</v>
      </c>
      <c r="F729">
        <v>528</v>
      </c>
      <c r="G729" t="s">
        <v>9</v>
      </c>
      <c r="H729" t="s">
        <v>10</v>
      </c>
      <c r="I729" t="str">
        <f>IF(Table1[[#This Row],[Income]]&lt;=30000, "Low Income", IF(Table1[[#This Row],[Income]]&lt;=60000,"Medium Income","High Income"))</f>
        <v>Medium Income</v>
      </c>
      <c r="J729" s="1">
        <f>Table1[[#This Row],[LoanAmount]]/Table1[[#This Row],[Income]]</f>
        <v>7.8488372093023256E-2</v>
      </c>
    </row>
    <row r="730" spans="1:10" x14ac:dyDescent="0.3">
      <c r="A730">
        <v>889</v>
      </c>
      <c r="B730">
        <v>45</v>
      </c>
      <c r="C730" t="s">
        <v>8</v>
      </c>
      <c r="D730">
        <v>40000</v>
      </c>
      <c r="E730">
        <v>18972</v>
      </c>
      <c r="F730">
        <v>595</v>
      </c>
      <c r="G730" t="s">
        <v>9</v>
      </c>
      <c r="H730" t="s">
        <v>10</v>
      </c>
      <c r="I730" t="str">
        <f>IF(Table1[[#This Row],[Income]]&lt;=30000, "Low Income", IF(Table1[[#This Row],[Income]]&lt;=60000,"Medium Income","High Income"))</f>
        <v>Medium Income</v>
      </c>
      <c r="J730" s="1">
        <f>Table1[[#This Row],[LoanAmount]]/Table1[[#This Row],[Income]]</f>
        <v>0.4743</v>
      </c>
    </row>
    <row r="731" spans="1:10" x14ac:dyDescent="0.3">
      <c r="A731">
        <v>890</v>
      </c>
      <c r="B731">
        <v>38</v>
      </c>
      <c r="C731" t="s">
        <v>11</v>
      </c>
      <c r="D731">
        <v>54040</v>
      </c>
      <c r="E731">
        <v>3368</v>
      </c>
      <c r="F731">
        <v>539</v>
      </c>
      <c r="G731" t="s">
        <v>9</v>
      </c>
      <c r="H731" t="s">
        <v>10</v>
      </c>
      <c r="I731" t="str">
        <f>IF(Table1[[#This Row],[Income]]&lt;=30000, "Low Income", IF(Table1[[#This Row],[Income]]&lt;=60000,"Medium Income","High Income"))</f>
        <v>Medium Income</v>
      </c>
      <c r="J731" s="1">
        <f>Table1[[#This Row],[LoanAmount]]/Table1[[#This Row],[Income]]</f>
        <v>6.2324204293116213E-2</v>
      </c>
    </row>
    <row r="732" spans="1:10" x14ac:dyDescent="0.3">
      <c r="A732">
        <v>891</v>
      </c>
      <c r="B732">
        <v>28</v>
      </c>
      <c r="C732" t="s">
        <v>8</v>
      </c>
      <c r="D732">
        <v>79641</v>
      </c>
      <c r="E732">
        <v>16592</v>
      </c>
      <c r="F732">
        <v>843</v>
      </c>
      <c r="G732" t="s">
        <v>12</v>
      </c>
      <c r="H732" t="s">
        <v>14</v>
      </c>
      <c r="I732" t="str">
        <f>IF(Table1[[#This Row],[Income]]&lt;=30000, "Low Income", IF(Table1[[#This Row],[Income]]&lt;=60000,"Medium Income","High Income"))</f>
        <v>High Income</v>
      </c>
      <c r="J732" s="1">
        <f>Table1[[#This Row],[LoanAmount]]/Table1[[#This Row],[Income]]</f>
        <v>0.20833490287665901</v>
      </c>
    </row>
    <row r="733" spans="1:10" x14ac:dyDescent="0.3">
      <c r="A733">
        <v>892</v>
      </c>
      <c r="B733">
        <v>59</v>
      </c>
      <c r="C733" t="s">
        <v>11</v>
      </c>
      <c r="D733">
        <v>64723</v>
      </c>
      <c r="E733">
        <v>1436</v>
      </c>
      <c r="F733">
        <v>682</v>
      </c>
      <c r="G733" t="s">
        <v>12</v>
      </c>
      <c r="H733" t="s">
        <v>13</v>
      </c>
      <c r="I733" t="str">
        <f>IF(Table1[[#This Row],[Income]]&lt;=30000, "Low Income", IF(Table1[[#This Row],[Income]]&lt;=60000,"Medium Income","High Income"))</f>
        <v>High Income</v>
      </c>
      <c r="J733" s="1">
        <f>Table1[[#This Row],[LoanAmount]]/Table1[[#This Row],[Income]]</f>
        <v>2.2186857840334966E-2</v>
      </c>
    </row>
    <row r="734" spans="1:10" x14ac:dyDescent="0.3">
      <c r="A734">
        <v>894</v>
      </c>
      <c r="B734">
        <v>52</v>
      </c>
      <c r="C734" t="s">
        <v>11</v>
      </c>
      <c r="D734">
        <v>21172</v>
      </c>
      <c r="E734">
        <v>2556</v>
      </c>
      <c r="F734">
        <v>633</v>
      </c>
      <c r="G734" t="s">
        <v>9</v>
      </c>
      <c r="H734" t="s">
        <v>10</v>
      </c>
      <c r="I734" t="str">
        <f>IF(Table1[[#This Row],[Income]]&lt;=30000, "Low Income", IF(Table1[[#This Row],[Income]]&lt;=60000,"Medium Income","High Income"))</f>
        <v>Low Income</v>
      </c>
      <c r="J734" s="1">
        <f>Table1[[#This Row],[LoanAmount]]/Table1[[#This Row],[Income]]</f>
        <v>0.12072548649159268</v>
      </c>
    </row>
    <row r="735" spans="1:10" x14ac:dyDescent="0.3">
      <c r="A735">
        <v>895</v>
      </c>
      <c r="B735">
        <v>58</v>
      </c>
      <c r="C735" t="s">
        <v>8</v>
      </c>
      <c r="D735">
        <v>57080</v>
      </c>
      <c r="E735">
        <v>14364</v>
      </c>
      <c r="F735">
        <v>422</v>
      </c>
      <c r="G735" t="s">
        <v>9</v>
      </c>
      <c r="H735" t="s">
        <v>10</v>
      </c>
      <c r="I735" t="str">
        <f>IF(Table1[[#This Row],[Income]]&lt;=30000, "Low Income", IF(Table1[[#This Row],[Income]]&lt;=60000,"Medium Income","High Income"))</f>
        <v>Medium Income</v>
      </c>
      <c r="J735" s="1">
        <f>Table1[[#This Row],[LoanAmount]]/Table1[[#This Row],[Income]]</f>
        <v>0.2516468114926419</v>
      </c>
    </row>
    <row r="736" spans="1:10" x14ac:dyDescent="0.3">
      <c r="A736">
        <v>896</v>
      </c>
      <c r="B736">
        <v>53</v>
      </c>
      <c r="C736" t="s">
        <v>11</v>
      </c>
      <c r="D736">
        <v>38561</v>
      </c>
      <c r="E736">
        <v>16061</v>
      </c>
      <c r="F736">
        <v>552</v>
      </c>
      <c r="G736" t="s">
        <v>9</v>
      </c>
      <c r="H736" t="s">
        <v>10</v>
      </c>
      <c r="I736" t="str">
        <f>IF(Table1[[#This Row],[Income]]&lt;=30000, "Low Income", IF(Table1[[#This Row],[Income]]&lt;=60000,"Medium Income","High Income"))</f>
        <v>Medium Income</v>
      </c>
      <c r="J736" s="1">
        <f>Table1[[#This Row],[LoanAmount]]/Table1[[#This Row],[Income]]</f>
        <v>0.41650890796400508</v>
      </c>
    </row>
    <row r="737" spans="1:10" x14ac:dyDescent="0.3">
      <c r="A737">
        <v>897</v>
      </c>
      <c r="B737">
        <v>43</v>
      </c>
      <c r="C737" t="s">
        <v>11</v>
      </c>
      <c r="D737">
        <v>39817</v>
      </c>
      <c r="E737">
        <v>11576</v>
      </c>
      <c r="F737">
        <v>676</v>
      </c>
      <c r="G737" t="s">
        <v>9</v>
      </c>
      <c r="H737" t="s">
        <v>13</v>
      </c>
      <c r="I737" t="str">
        <f>IF(Table1[[#This Row],[Income]]&lt;=30000, "Low Income", IF(Table1[[#This Row],[Income]]&lt;=60000,"Medium Income","High Income"))</f>
        <v>Medium Income</v>
      </c>
      <c r="J737" s="1">
        <f>Table1[[#This Row],[LoanAmount]]/Table1[[#This Row],[Income]]</f>
        <v>0.2907300901624934</v>
      </c>
    </row>
    <row r="738" spans="1:10" x14ac:dyDescent="0.3">
      <c r="A738">
        <v>898</v>
      </c>
      <c r="B738">
        <v>35</v>
      </c>
      <c r="C738" t="s">
        <v>8</v>
      </c>
      <c r="D738">
        <v>48500</v>
      </c>
      <c r="E738">
        <v>17566</v>
      </c>
      <c r="F738">
        <v>460</v>
      </c>
      <c r="G738" t="s">
        <v>9</v>
      </c>
      <c r="H738" t="s">
        <v>10</v>
      </c>
      <c r="I738" t="str">
        <f>IF(Table1[[#This Row],[Income]]&lt;=30000, "Low Income", IF(Table1[[#This Row],[Income]]&lt;=60000,"Medium Income","High Income"))</f>
        <v>Medium Income</v>
      </c>
      <c r="J738" s="1">
        <f>Table1[[#This Row],[LoanAmount]]/Table1[[#This Row],[Income]]</f>
        <v>0.3621855670103093</v>
      </c>
    </row>
    <row r="739" spans="1:10" x14ac:dyDescent="0.3">
      <c r="A739">
        <v>900</v>
      </c>
      <c r="B739">
        <v>45</v>
      </c>
      <c r="C739" t="s">
        <v>8</v>
      </c>
      <c r="D739">
        <v>72275</v>
      </c>
      <c r="E739">
        <v>6565</v>
      </c>
      <c r="F739">
        <v>777</v>
      </c>
      <c r="G739" t="s">
        <v>12</v>
      </c>
      <c r="H739" t="s">
        <v>14</v>
      </c>
      <c r="I739" t="str">
        <f>IF(Table1[[#This Row],[Income]]&lt;=30000, "Low Income", IF(Table1[[#This Row],[Income]]&lt;=60000,"Medium Income","High Income"))</f>
        <v>High Income</v>
      </c>
      <c r="J739" s="1">
        <f>Table1[[#This Row],[LoanAmount]]/Table1[[#This Row],[Income]]</f>
        <v>9.0833621584226906E-2</v>
      </c>
    </row>
    <row r="740" spans="1:10" x14ac:dyDescent="0.3">
      <c r="A740">
        <v>902</v>
      </c>
      <c r="B740">
        <v>53</v>
      </c>
      <c r="C740" t="s">
        <v>11</v>
      </c>
      <c r="D740">
        <v>40364</v>
      </c>
      <c r="E740">
        <v>2589</v>
      </c>
      <c r="F740">
        <v>743</v>
      </c>
      <c r="G740" t="s">
        <v>12</v>
      </c>
      <c r="H740" t="s">
        <v>13</v>
      </c>
      <c r="I740" t="str">
        <f>IF(Table1[[#This Row],[Income]]&lt;=30000, "Low Income", IF(Table1[[#This Row],[Income]]&lt;=60000,"Medium Income","High Income"))</f>
        <v>Medium Income</v>
      </c>
      <c r="J740" s="1">
        <f>Table1[[#This Row],[LoanAmount]]/Table1[[#This Row],[Income]]</f>
        <v>6.4141314042215833E-2</v>
      </c>
    </row>
    <row r="741" spans="1:10" x14ac:dyDescent="0.3">
      <c r="A741">
        <v>903</v>
      </c>
      <c r="B741">
        <v>22</v>
      </c>
      <c r="C741" t="s">
        <v>8</v>
      </c>
      <c r="D741">
        <v>71603</v>
      </c>
      <c r="E741">
        <v>1159</v>
      </c>
      <c r="F741">
        <v>552</v>
      </c>
      <c r="G741" t="s">
        <v>9</v>
      </c>
      <c r="H741" t="s">
        <v>10</v>
      </c>
      <c r="I741" t="str">
        <f>IF(Table1[[#This Row],[Income]]&lt;=30000, "Low Income", IF(Table1[[#This Row],[Income]]&lt;=60000,"Medium Income","High Income"))</f>
        <v>High Income</v>
      </c>
      <c r="J741" s="1">
        <f>Table1[[#This Row],[LoanAmount]]/Table1[[#This Row],[Income]]</f>
        <v>1.6186472633828192E-2</v>
      </c>
    </row>
    <row r="742" spans="1:10" x14ac:dyDescent="0.3">
      <c r="A742">
        <v>906</v>
      </c>
      <c r="B742">
        <v>26</v>
      </c>
      <c r="C742" t="s">
        <v>8</v>
      </c>
      <c r="D742">
        <v>42425</v>
      </c>
      <c r="E742">
        <v>7555</v>
      </c>
      <c r="F742">
        <v>701</v>
      </c>
      <c r="G742" t="s">
        <v>12</v>
      </c>
      <c r="H742" t="s">
        <v>13</v>
      </c>
      <c r="I742" t="str">
        <f>IF(Table1[[#This Row],[Income]]&lt;=30000, "Low Income", IF(Table1[[#This Row],[Income]]&lt;=60000,"Medium Income","High Income"))</f>
        <v>Medium Income</v>
      </c>
      <c r="J742" s="1">
        <f>Table1[[#This Row],[LoanAmount]]/Table1[[#This Row],[Income]]</f>
        <v>0.17807896287566294</v>
      </c>
    </row>
    <row r="743" spans="1:10" x14ac:dyDescent="0.3">
      <c r="A743">
        <v>907</v>
      </c>
      <c r="B743">
        <v>26</v>
      </c>
      <c r="C743" t="s">
        <v>8</v>
      </c>
      <c r="D743">
        <v>64927</v>
      </c>
      <c r="E743">
        <v>17237</v>
      </c>
      <c r="F743">
        <v>431</v>
      </c>
      <c r="G743" t="s">
        <v>9</v>
      </c>
      <c r="H743" t="s">
        <v>10</v>
      </c>
      <c r="I743" t="str">
        <f>IF(Table1[[#This Row],[Income]]&lt;=30000, "Low Income", IF(Table1[[#This Row],[Income]]&lt;=60000,"Medium Income","High Income"))</f>
        <v>High Income</v>
      </c>
      <c r="J743" s="1">
        <f>Table1[[#This Row],[LoanAmount]]/Table1[[#This Row],[Income]]</f>
        <v>0.26548277296040168</v>
      </c>
    </row>
    <row r="744" spans="1:10" x14ac:dyDescent="0.3">
      <c r="A744">
        <v>908</v>
      </c>
      <c r="B744">
        <v>23</v>
      </c>
      <c r="C744" t="s">
        <v>11</v>
      </c>
      <c r="D744">
        <v>43602</v>
      </c>
      <c r="E744">
        <v>10203</v>
      </c>
      <c r="F744">
        <v>454</v>
      </c>
      <c r="G744" t="s">
        <v>9</v>
      </c>
      <c r="H744" t="s">
        <v>10</v>
      </c>
      <c r="I744" t="str">
        <f>IF(Table1[[#This Row],[Income]]&lt;=30000, "Low Income", IF(Table1[[#This Row],[Income]]&lt;=60000,"Medium Income","High Income"))</f>
        <v>Medium Income</v>
      </c>
      <c r="J744" s="1">
        <f>Table1[[#This Row],[LoanAmount]]/Table1[[#This Row],[Income]]</f>
        <v>0.23400302738406495</v>
      </c>
    </row>
    <row r="745" spans="1:10" x14ac:dyDescent="0.3">
      <c r="A745">
        <v>909</v>
      </c>
      <c r="B745">
        <v>27</v>
      </c>
      <c r="C745" t="s">
        <v>8</v>
      </c>
      <c r="D745">
        <v>48500</v>
      </c>
      <c r="E745">
        <v>9244</v>
      </c>
      <c r="F745">
        <v>751</v>
      </c>
      <c r="G745" t="s">
        <v>12</v>
      </c>
      <c r="H745" t="s">
        <v>14</v>
      </c>
      <c r="I745" t="str">
        <f>IF(Table1[[#This Row],[Income]]&lt;=30000, "Low Income", IF(Table1[[#This Row],[Income]]&lt;=60000,"Medium Income","High Income"))</f>
        <v>Medium Income</v>
      </c>
      <c r="J745" s="1">
        <f>Table1[[#This Row],[LoanAmount]]/Table1[[#This Row],[Income]]</f>
        <v>0.1905979381443299</v>
      </c>
    </row>
    <row r="746" spans="1:10" x14ac:dyDescent="0.3">
      <c r="A746">
        <v>910</v>
      </c>
      <c r="B746">
        <v>28</v>
      </c>
      <c r="C746" t="s">
        <v>8</v>
      </c>
      <c r="D746">
        <v>66399</v>
      </c>
      <c r="E746">
        <v>15743</v>
      </c>
      <c r="F746">
        <v>788</v>
      </c>
      <c r="G746" t="s">
        <v>12</v>
      </c>
      <c r="H746" t="s">
        <v>14</v>
      </c>
      <c r="I746" t="str">
        <f>IF(Table1[[#This Row],[Income]]&lt;=30000, "Low Income", IF(Table1[[#This Row],[Income]]&lt;=60000,"Medium Income","High Income"))</f>
        <v>High Income</v>
      </c>
      <c r="J746" s="1">
        <f>Table1[[#This Row],[LoanAmount]]/Table1[[#This Row],[Income]]</f>
        <v>0.23709694423108782</v>
      </c>
    </row>
    <row r="747" spans="1:10" x14ac:dyDescent="0.3">
      <c r="A747">
        <v>911</v>
      </c>
      <c r="B747">
        <v>35</v>
      </c>
      <c r="C747" t="s">
        <v>8</v>
      </c>
      <c r="D747">
        <v>38472</v>
      </c>
      <c r="E747">
        <v>14333</v>
      </c>
      <c r="F747">
        <v>435</v>
      </c>
      <c r="G747" t="s">
        <v>9</v>
      </c>
      <c r="H747" t="s">
        <v>10</v>
      </c>
      <c r="I747" t="str">
        <f>IF(Table1[[#This Row],[Income]]&lt;=30000, "Low Income", IF(Table1[[#This Row],[Income]]&lt;=60000,"Medium Income","High Income"))</f>
        <v>Medium Income</v>
      </c>
      <c r="J747" s="1">
        <f>Table1[[#This Row],[LoanAmount]]/Table1[[#This Row],[Income]]</f>
        <v>0.3725566645872323</v>
      </c>
    </row>
    <row r="748" spans="1:10" x14ac:dyDescent="0.3">
      <c r="A748">
        <v>912</v>
      </c>
      <c r="B748">
        <v>49</v>
      </c>
      <c r="C748" t="s">
        <v>8</v>
      </c>
      <c r="D748">
        <v>64230</v>
      </c>
      <c r="E748">
        <v>14341</v>
      </c>
      <c r="F748">
        <v>509</v>
      </c>
      <c r="G748" t="s">
        <v>9</v>
      </c>
      <c r="H748" t="s">
        <v>10</v>
      </c>
      <c r="I748" t="str">
        <f>IF(Table1[[#This Row],[Income]]&lt;=30000, "Low Income", IF(Table1[[#This Row],[Income]]&lt;=60000,"Medium Income","High Income"))</f>
        <v>High Income</v>
      </c>
      <c r="J748" s="1">
        <f>Table1[[#This Row],[LoanAmount]]/Table1[[#This Row],[Income]]</f>
        <v>0.22327572785302818</v>
      </c>
    </row>
    <row r="749" spans="1:10" x14ac:dyDescent="0.3">
      <c r="A749">
        <v>915</v>
      </c>
      <c r="B749">
        <v>59</v>
      </c>
      <c r="C749" t="s">
        <v>8</v>
      </c>
      <c r="D749">
        <v>68078</v>
      </c>
      <c r="E749">
        <v>6590</v>
      </c>
      <c r="F749">
        <v>713</v>
      </c>
      <c r="G749" t="s">
        <v>12</v>
      </c>
      <c r="H749" t="s">
        <v>13</v>
      </c>
      <c r="I749" t="str">
        <f>IF(Table1[[#This Row],[Income]]&lt;=30000, "Low Income", IF(Table1[[#This Row],[Income]]&lt;=60000,"Medium Income","High Income"))</f>
        <v>High Income</v>
      </c>
      <c r="J749" s="1">
        <f>Table1[[#This Row],[LoanAmount]]/Table1[[#This Row],[Income]]</f>
        <v>9.6800728576045131E-2</v>
      </c>
    </row>
    <row r="750" spans="1:10" x14ac:dyDescent="0.3">
      <c r="A750">
        <v>917</v>
      </c>
      <c r="B750">
        <v>56</v>
      </c>
      <c r="C750" t="s">
        <v>11</v>
      </c>
      <c r="D750">
        <v>71492</v>
      </c>
      <c r="E750">
        <v>10227</v>
      </c>
      <c r="F750">
        <v>735</v>
      </c>
      <c r="G750" t="s">
        <v>12</v>
      </c>
      <c r="H750" t="s">
        <v>13</v>
      </c>
      <c r="I750" t="str">
        <f>IF(Table1[[#This Row],[Income]]&lt;=30000, "Low Income", IF(Table1[[#This Row],[Income]]&lt;=60000,"Medium Income","High Income"))</f>
        <v>High Income</v>
      </c>
      <c r="J750" s="1">
        <f>Table1[[#This Row],[LoanAmount]]/Table1[[#This Row],[Income]]</f>
        <v>0.14305097073798467</v>
      </c>
    </row>
    <row r="751" spans="1:10" x14ac:dyDescent="0.3">
      <c r="A751">
        <v>918</v>
      </c>
      <c r="B751">
        <v>49</v>
      </c>
      <c r="C751" t="s">
        <v>11</v>
      </c>
      <c r="D751">
        <v>46186</v>
      </c>
      <c r="E751">
        <v>7046</v>
      </c>
      <c r="F751">
        <v>496</v>
      </c>
      <c r="G751" t="s">
        <v>9</v>
      </c>
      <c r="H751" t="s">
        <v>10</v>
      </c>
      <c r="I751" t="str">
        <f>IF(Table1[[#This Row],[Income]]&lt;=30000, "Low Income", IF(Table1[[#This Row],[Income]]&lt;=60000,"Medium Income","High Income"))</f>
        <v>Medium Income</v>
      </c>
      <c r="J751" s="1">
        <f>Table1[[#This Row],[LoanAmount]]/Table1[[#This Row],[Income]]</f>
        <v>0.1525570519204954</v>
      </c>
    </row>
    <row r="752" spans="1:10" x14ac:dyDescent="0.3">
      <c r="A752">
        <v>919</v>
      </c>
      <c r="B752">
        <v>58</v>
      </c>
      <c r="C752" t="s">
        <v>11</v>
      </c>
      <c r="D752">
        <v>62684</v>
      </c>
      <c r="E752">
        <v>13237</v>
      </c>
      <c r="F752">
        <v>768</v>
      </c>
      <c r="G752" t="s">
        <v>12</v>
      </c>
      <c r="H752" t="s">
        <v>14</v>
      </c>
      <c r="I752" t="str">
        <f>IF(Table1[[#This Row],[Income]]&lt;=30000, "Low Income", IF(Table1[[#This Row],[Income]]&lt;=60000,"Medium Income","High Income"))</f>
        <v>High Income</v>
      </c>
      <c r="J752" s="1">
        <f>Table1[[#This Row],[LoanAmount]]/Table1[[#This Row],[Income]]</f>
        <v>0.21117031459383576</v>
      </c>
    </row>
    <row r="753" spans="1:10" x14ac:dyDescent="0.3">
      <c r="A753">
        <v>920</v>
      </c>
      <c r="B753">
        <v>53</v>
      </c>
      <c r="C753" t="s">
        <v>8</v>
      </c>
      <c r="D753">
        <v>45111</v>
      </c>
      <c r="E753">
        <v>16649</v>
      </c>
      <c r="F753">
        <v>612</v>
      </c>
      <c r="G753" t="s">
        <v>9</v>
      </c>
      <c r="H753" t="s">
        <v>10</v>
      </c>
      <c r="I753" t="str">
        <f>IF(Table1[[#This Row],[Income]]&lt;=30000, "Low Income", IF(Table1[[#This Row],[Income]]&lt;=60000,"Medium Income","High Income"))</f>
        <v>Medium Income</v>
      </c>
      <c r="J753" s="1">
        <f>Table1[[#This Row],[LoanAmount]]/Table1[[#This Row],[Income]]</f>
        <v>0.36906741149608741</v>
      </c>
    </row>
    <row r="754" spans="1:10" x14ac:dyDescent="0.3">
      <c r="A754">
        <v>921</v>
      </c>
      <c r="B754">
        <v>57</v>
      </c>
      <c r="C754" t="s">
        <v>11</v>
      </c>
      <c r="D754">
        <v>54851</v>
      </c>
      <c r="E754">
        <v>5945</v>
      </c>
      <c r="F754">
        <v>716</v>
      </c>
      <c r="G754" t="s">
        <v>12</v>
      </c>
      <c r="H754" t="s">
        <v>13</v>
      </c>
      <c r="I754" t="str">
        <f>IF(Table1[[#This Row],[Income]]&lt;=30000, "Low Income", IF(Table1[[#This Row],[Income]]&lt;=60000,"Medium Income","High Income"))</f>
        <v>Medium Income</v>
      </c>
      <c r="J754" s="1">
        <f>Table1[[#This Row],[LoanAmount]]/Table1[[#This Row],[Income]]</f>
        <v>0.10838453264297825</v>
      </c>
    </row>
    <row r="755" spans="1:10" x14ac:dyDescent="0.3">
      <c r="A755">
        <v>922</v>
      </c>
      <c r="B755">
        <v>47</v>
      </c>
      <c r="C755" t="s">
        <v>11</v>
      </c>
      <c r="D755">
        <v>78936</v>
      </c>
      <c r="E755">
        <v>8927</v>
      </c>
      <c r="F755">
        <v>536</v>
      </c>
      <c r="G755" t="s">
        <v>9</v>
      </c>
      <c r="H755" t="s">
        <v>10</v>
      </c>
      <c r="I755" t="str">
        <f>IF(Table1[[#This Row],[Income]]&lt;=30000, "Low Income", IF(Table1[[#This Row],[Income]]&lt;=60000,"Medium Income","High Income"))</f>
        <v>High Income</v>
      </c>
      <c r="J755" s="1">
        <f>Table1[[#This Row],[LoanAmount]]/Table1[[#This Row],[Income]]</f>
        <v>0.11309161852640114</v>
      </c>
    </row>
    <row r="756" spans="1:10" x14ac:dyDescent="0.3">
      <c r="A756">
        <v>923</v>
      </c>
      <c r="B756">
        <v>53</v>
      </c>
      <c r="C756" t="s">
        <v>8</v>
      </c>
      <c r="D756">
        <v>37614</v>
      </c>
      <c r="E756">
        <v>13641</v>
      </c>
      <c r="F756">
        <v>405</v>
      </c>
      <c r="G756" t="s">
        <v>9</v>
      </c>
      <c r="H756" t="s">
        <v>10</v>
      </c>
      <c r="I756" t="str">
        <f>IF(Table1[[#This Row],[Income]]&lt;=30000, "Low Income", IF(Table1[[#This Row],[Income]]&lt;=60000,"Medium Income","High Income"))</f>
        <v>Medium Income</v>
      </c>
      <c r="J756" s="1">
        <f>Table1[[#This Row],[LoanAmount]]/Table1[[#This Row],[Income]]</f>
        <v>0.36265752113574734</v>
      </c>
    </row>
    <row r="757" spans="1:10" x14ac:dyDescent="0.3">
      <c r="A757">
        <v>924</v>
      </c>
      <c r="B757">
        <v>24</v>
      </c>
      <c r="C757" t="s">
        <v>8</v>
      </c>
      <c r="D757">
        <v>41724</v>
      </c>
      <c r="E757">
        <v>16998</v>
      </c>
      <c r="F757">
        <v>508</v>
      </c>
      <c r="G757" t="s">
        <v>9</v>
      </c>
      <c r="H757" t="s">
        <v>10</v>
      </c>
      <c r="I757" t="str">
        <f>IF(Table1[[#This Row],[Income]]&lt;=30000, "Low Income", IF(Table1[[#This Row],[Income]]&lt;=60000,"Medium Income","High Income"))</f>
        <v>Medium Income</v>
      </c>
      <c r="J757" s="1">
        <f>Table1[[#This Row],[LoanAmount]]/Table1[[#This Row],[Income]]</f>
        <v>0.40739142939315504</v>
      </c>
    </row>
    <row r="758" spans="1:10" x14ac:dyDescent="0.3">
      <c r="A758">
        <v>925</v>
      </c>
      <c r="B758">
        <v>42</v>
      </c>
      <c r="C758" t="s">
        <v>8</v>
      </c>
      <c r="D758">
        <v>56991</v>
      </c>
      <c r="E758">
        <v>14386</v>
      </c>
      <c r="F758">
        <v>434</v>
      </c>
      <c r="G758" t="s">
        <v>9</v>
      </c>
      <c r="H758" t="s">
        <v>10</v>
      </c>
      <c r="I758" t="str">
        <f>IF(Table1[[#This Row],[Income]]&lt;=30000, "Low Income", IF(Table1[[#This Row],[Income]]&lt;=60000,"Medium Income","High Income"))</f>
        <v>Medium Income</v>
      </c>
      <c r="J758" s="1">
        <f>Table1[[#This Row],[LoanAmount]]/Table1[[#This Row],[Income]]</f>
        <v>0.25242582162095767</v>
      </c>
    </row>
    <row r="759" spans="1:10" x14ac:dyDescent="0.3">
      <c r="A759">
        <v>926</v>
      </c>
      <c r="B759">
        <v>22</v>
      </c>
      <c r="C759" t="s">
        <v>11</v>
      </c>
      <c r="D759">
        <v>19940</v>
      </c>
      <c r="E759">
        <v>8016</v>
      </c>
      <c r="F759">
        <v>438</v>
      </c>
      <c r="G759" t="s">
        <v>9</v>
      </c>
      <c r="H759" t="s">
        <v>10</v>
      </c>
      <c r="I759" t="str">
        <f>IF(Table1[[#This Row],[Income]]&lt;=30000, "Low Income", IF(Table1[[#This Row],[Income]]&lt;=60000,"Medium Income","High Income"))</f>
        <v>Low Income</v>
      </c>
      <c r="J759" s="1">
        <f>Table1[[#This Row],[LoanAmount]]/Table1[[#This Row],[Income]]</f>
        <v>0.40200601805416247</v>
      </c>
    </row>
    <row r="760" spans="1:10" x14ac:dyDescent="0.3">
      <c r="A760">
        <v>927</v>
      </c>
      <c r="B760">
        <v>30</v>
      </c>
      <c r="C760" t="s">
        <v>8</v>
      </c>
      <c r="D760">
        <v>67423</v>
      </c>
      <c r="E760">
        <v>15027</v>
      </c>
      <c r="F760">
        <v>549</v>
      </c>
      <c r="G760" t="s">
        <v>9</v>
      </c>
      <c r="H760" t="s">
        <v>10</v>
      </c>
      <c r="I760" t="str">
        <f>IF(Table1[[#This Row],[Income]]&lt;=30000, "Low Income", IF(Table1[[#This Row],[Income]]&lt;=60000,"Medium Income","High Income"))</f>
        <v>High Income</v>
      </c>
      <c r="J760" s="1">
        <f>Table1[[#This Row],[LoanAmount]]/Table1[[#This Row],[Income]]</f>
        <v>0.22287646648769707</v>
      </c>
    </row>
    <row r="761" spans="1:10" x14ac:dyDescent="0.3">
      <c r="A761">
        <v>929</v>
      </c>
      <c r="B761">
        <v>30</v>
      </c>
      <c r="C761" t="s">
        <v>11</v>
      </c>
      <c r="D761">
        <v>43758</v>
      </c>
      <c r="E761">
        <v>14752</v>
      </c>
      <c r="F761">
        <v>517</v>
      </c>
      <c r="G761" t="s">
        <v>9</v>
      </c>
      <c r="H761" t="s">
        <v>10</v>
      </c>
      <c r="I761" t="str">
        <f>IF(Table1[[#This Row],[Income]]&lt;=30000, "Low Income", IF(Table1[[#This Row],[Income]]&lt;=60000,"Medium Income","High Income"))</f>
        <v>Medium Income</v>
      </c>
      <c r="J761" s="1">
        <f>Table1[[#This Row],[LoanAmount]]/Table1[[#This Row],[Income]]</f>
        <v>0.3371269253622195</v>
      </c>
    </row>
    <row r="762" spans="1:10" x14ac:dyDescent="0.3">
      <c r="A762">
        <v>930</v>
      </c>
      <c r="B762">
        <v>53</v>
      </c>
      <c r="C762" t="s">
        <v>8</v>
      </c>
      <c r="D762">
        <v>48500</v>
      </c>
      <c r="E762">
        <v>19268</v>
      </c>
      <c r="F762">
        <v>660</v>
      </c>
      <c r="G762" t="s">
        <v>9</v>
      </c>
      <c r="H762" t="s">
        <v>13</v>
      </c>
      <c r="I762" t="str">
        <f>IF(Table1[[#This Row],[Income]]&lt;=30000, "Low Income", IF(Table1[[#This Row],[Income]]&lt;=60000,"Medium Income","High Income"))</f>
        <v>Medium Income</v>
      </c>
      <c r="J762" s="1">
        <f>Table1[[#This Row],[LoanAmount]]/Table1[[#This Row],[Income]]</f>
        <v>0.3972783505154639</v>
      </c>
    </row>
    <row r="763" spans="1:10" x14ac:dyDescent="0.3">
      <c r="A763">
        <v>931</v>
      </c>
      <c r="B763">
        <v>58</v>
      </c>
      <c r="C763" t="s">
        <v>8</v>
      </c>
      <c r="D763">
        <v>51224</v>
      </c>
      <c r="E763">
        <v>19193</v>
      </c>
      <c r="F763">
        <v>825</v>
      </c>
      <c r="G763" t="s">
        <v>12</v>
      </c>
      <c r="H763" t="s">
        <v>14</v>
      </c>
      <c r="I763" t="str">
        <f>IF(Table1[[#This Row],[Income]]&lt;=30000, "Low Income", IF(Table1[[#This Row],[Income]]&lt;=60000,"Medium Income","High Income"))</f>
        <v>Medium Income</v>
      </c>
      <c r="J763" s="1">
        <f>Table1[[#This Row],[LoanAmount]]/Table1[[#This Row],[Income]]</f>
        <v>0.37468764641574265</v>
      </c>
    </row>
    <row r="764" spans="1:10" x14ac:dyDescent="0.3">
      <c r="A764">
        <v>932</v>
      </c>
      <c r="B764">
        <v>33</v>
      </c>
      <c r="C764" t="s">
        <v>8</v>
      </c>
      <c r="D764">
        <v>22788</v>
      </c>
      <c r="E764">
        <v>4167</v>
      </c>
      <c r="F764">
        <v>486</v>
      </c>
      <c r="G764" t="s">
        <v>9</v>
      </c>
      <c r="H764" t="s">
        <v>10</v>
      </c>
      <c r="I764" t="str">
        <f>IF(Table1[[#This Row],[Income]]&lt;=30000, "Low Income", IF(Table1[[#This Row],[Income]]&lt;=60000,"Medium Income","High Income"))</f>
        <v>Low Income</v>
      </c>
      <c r="J764" s="1">
        <f>Table1[[#This Row],[LoanAmount]]/Table1[[#This Row],[Income]]</f>
        <v>0.18285939968404424</v>
      </c>
    </row>
    <row r="765" spans="1:10" x14ac:dyDescent="0.3">
      <c r="A765">
        <v>933</v>
      </c>
      <c r="B765">
        <v>51</v>
      </c>
      <c r="C765" t="s">
        <v>8</v>
      </c>
      <c r="D765">
        <v>43082</v>
      </c>
      <c r="E765">
        <v>12989</v>
      </c>
      <c r="F765">
        <v>475</v>
      </c>
      <c r="G765" t="s">
        <v>9</v>
      </c>
      <c r="H765" t="s">
        <v>10</v>
      </c>
      <c r="I765" t="str">
        <f>IF(Table1[[#This Row],[Income]]&lt;=30000, "Low Income", IF(Table1[[#This Row],[Income]]&lt;=60000,"Medium Income","High Income"))</f>
        <v>Medium Income</v>
      </c>
      <c r="J765" s="1">
        <f>Table1[[#This Row],[LoanAmount]]/Table1[[#This Row],[Income]]</f>
        <v>0.30149482382433501</v>
      </c>
    </row>
    <row r="766" spans="1:10" x14ac:dyDescent="0.3">
      <c r="A766">
        <v>935</v>
      </c>
      <c r="B766">
        <v>44</v>
      </c>
      <c r="C766" t="s">
        <v>8</v>
      </c>
      <c r="D766">
        <v>39034</v>
      </c>
      <c r="E766">
        <v>3437</v>
      </c>
      <c r="F766">
        <v>712</v>
      </c>
      <c r="G766" t="s">
        <v>12</v>
      </c>
      <c r="H766" t="s">
        <v>13</v>
      </c>
      <c r="I766" t="str">
        <f>IF(Table1[[#This Row],[Income]]&lt;=30000, "Low Income", IF(Table1[[#This Row],[Income]]&lt;=60000,"Medium Income","High Income"))</f>
        <v>Medium Income</v>
      </c>
      <c r="J766" s="1">
        <f>Table1[[#This Row],[LoanAmount]]/Table1[[#This Row],[Income]]</f>
        <v>8.8051442332325661E-2</v>
      </c>
    </row>
    <row r="767" spans="1:10" x14ac:dyDescent="0.3">
      <c r="A767">
        <v>936</v>
      </c>
      <c r="B767">
        <v>35</v>
      </c>
      <c r="C767" t="s">
        <v>8</v>
      </c>
      <c r="D767">
        <v>50479</v>
      </c>
      <c r="E767">
        <v>16275</v>
      </c>
      <c r="F767">
        <v>782</v>
      </c>
      <c r="G767" t="s">
        <v>12</v>
      </c>
      <c r="H767" t="s">
        <v>14</v>
      </c>
      <c r="I767" t="str">
        <f>IF(Table1[[#This Row],[Income]]&lt;=30000, "Low Income", IF(Table1[[#This Row],[Income]]&lt;=60000,"Medium Income","High Income"))</f>
        <v>Medium Income</v>
      </c>
      <c r="J767" s="1">
        <f>Table1[[#This Row],[LoanAmount]]/Table1[[#This Row],[Income]]</f>
        <v>0.32241129974841021</v>
      </c>
    </row>
    <row r="768" spans="1:10" x14ac:dyDescent="0.3">
      <c r="A768">
        <v>938</v>
      </c>
      <c r="B768">
        <v>28</v>
      </c>
      <c r="C768" t="s">
        <v>8</v>
      </c>
      <c r="D768">
        <v>33052</v>
      </c>
      <c r="E768">
        <v>9859</v>
      </c>
      <c r="F768">
        <v>684</v>
      </c>
      <c r="G768" t="s">
        <v>12</v>
      </c>
      <c r="H768" t="s">
        <v>13</v>
      </c>
      <c r="I768" t="str">
        <f>IF(Table1[[#This Row],[Income]]&lt;=30000, "Low Income", IF(Table1[[#This Row],[Income]]&lt;=60000,"Medium Income","High Income"))</f>
        <v>Medium Income</v>
      </c>
      <c r="J768" s="1">
        <f>Table1[[#This Row],[LoanAmount]]/Table1[[#This Row],[Income]]</f>
        <v>0.29828754689580056</v>
      </c>
    </row>
    <row r="769" spans="1:10" x14ac:dyDescent="0.3">
      <c r="A769">
        <v>939</v>
      </c>
      <c r="B769">
        <v>25</v>
      </c>
      <c r="C769" t="s">
        <v>11</v>
      </c>
      <c r="D769">
        <v>48500</v>
      </c>
      <c r="E769">
        <v>8818</v>
      </c>
      <c r="F769">
        <v>638</v>
      </c>
      <c r="G769" t="s">
        <v>9</v>
      </c>
      <c r="H769" t="s">
        <v>10</v>
      </c>
      <c r="I769" t="str">
        <f>IF(Table1[[#This Row],[Income]]&lt;=30000, "Low Income", IF(Table1[[#This Row],[Income]]&lt;=60000,"Medium Income","High Income"))</f>
        <v>Medium Income</v>
      </c>
      <c r="J769" s="1">
        <f>Table1[[#This Row],[LoanAmount]]/Table1[[#This Row],[Income]]</f>
        <v>0.18181443298969072</v>
      </c>
    </row>
    <row r="770" spans="1:10" x14ac:dyDescent="0.3">
      <c r="A770">
        <v>941</v>
      </c>
      <c r="B770">
        <v>24</v>
      </c>
      <c r="C770" t="s">
        <v>11</v>
      </c>
      <c r="D770">
        <v>43903</v>
      </c>
      <c r="E770">
        <v>6738</v>
      </c>
      <c r="F770">
        <v>486</v>
      </c>
      <c r="G770" t="s">
        <v>9</v>
      </c>
      <c r="H770" t="s">
        <v>10</v>
      </c>
      <c r="I770" t="str">
        <f>IF(Table1[[#This Row],[Income]]&lt;=30000, "Low Income", IF(Table1[[#This Row],[Income]]&lt;=60000,"Medium Income","High Income"))</f>
        <v>Medium Income</v>
      </c>
      <c r="J770" s="1">
        <f>Table1[[#This Row],[LoanAmount]]/Table1[[#This Row],[Income]]</f>
        <v>0.15347470560098397</v>
      </c>
    </row>
    <row r="771" spans="1:10" x14ac:dyDescent="0.3">
      <c r="A771">
        <v>942</v>
      </c>
      <c r="B771">
        <v>32</v>
      </c>
      <c r="C771" t="s">
        <v>11</v>
      </c>
      <c r="D771">
        <v>59857</v>
      </c>
      <c r="E771">
        <v>6793</v>
      </c>
      <c r="F771">
        <v>540</v>
      </c>
      <c r="G771" t="s">
        <v>9</v>
      </c>
      <c r="H771" t="s">
        <v>10</v>
      </c>
      <c r="I771" t="str">
        <f>IF(Table1[[#This Row],[Income]]&lt;=30000, "Low Income", IF(Table1[[#This Row],[Income]]&lt;=60000,"Medium Income","High Income"))</f>
        <v>Medium Income</v>
      </c>
      <c r="J771" s="1">
        <f>Table1[[#This Row],[LoanAmount]]/Table1[[#This Row],[Income]]</f>
        <v>0.11348714436072639</v>
      </c>
    </row>
    <row r="772" spans="1:10" x14ac:dyDescent="0.3">
      <c r="A772">
        <v>943</v>
      </c>
      <c r="B772">
        <v>22</v>
      </c>
      <c r="C772" t="s">
        <v>11</v>
      </c>
      <c r="D772">
        <v>25142</v>
      </c>
      <c r="E772">
        <v>5523</v>
      </c>
      <c r="F772">
        <v>559</v>
      </c>
      <c r="G772" t="s">
        <v>9</v>
      </c>
      <c r="H772" t="s">
        <v>10</v>
      </c>
      <c r="I772" t="str">
        <f>IF(Table1[[#This Row],[Income]]&lt;=30000, "Low Income", IF(Table1[[#This Row],[Income]]&lt;=60000,"Medium Income","High Income"))</f>
        <v>Low Income</v>
      </c>
      <c r="J772" s="1">
        <f>Table1[[#This Row],[LoanAmount]]/Table1[[#This Row],[Income]]</f>
        <v>0.21967226155437117</v>
      </c>
    </row>
    <row r="773" spans="1:10" x14ac:dyDescent="0.3">
      <c r="A773">
        <v>944</v>
      </c>
      <c r="B773">
        <v>47</v>
      </c>
      <c r="C773" t="s">
        <v>11</v>
      </c>
      <c r="D773">
        <v>64517</v>
      </c>
      <c r="E773">
        <v>6571</v>
      </c>
      <c r="F773">
        <v>445</v>
      </c>
      <c r="G773" t="s">
        <v>9</v>
      </c>
      <c r="H773" t="s">
        <v>10</v>
      </c>
      <c r="I773" t="str">
        <f>IF(Table1[[#This Row],[Income]]&lt;=30000, "Low Income", IF(Table1[[#This Row],[Income]]&lt;=60000,"Medium Income","High Income"))</f>
        <v>High Income</v>
      </c>
      <c r="J773" s="1">
        <f>Table1[[#This Row],[LoanAmount]]/Table1[[#This Row],[Income]]</f>
        <v>0.101849125036812</v>
      </c>
    </row>
    <row r="774" spans="1:10" x14ac:dyDescent="0.3">
      <c r="A774">
        <v>945</v>
      </c>
      <c r="B774">
        <v>51</v>
      </c>
      <c r="C774" t="s">
        <v>8</v>
      </c>
      <c r="D774">
        <v>63355</v>
      </c>
      <c r="E774">
        <v>17209</v>
      </c>
      <c r="F774">
        <v>771</v>
      </c>
      <c r="G774" t="s">
        <v>12</v>
      </c>
      <c r="H774" t="s">
        <v>14</v>
      </c>
      <c r="I774" t="str">
        <f>IF(Table1[[#This Row],[Income]]&lt;=30000, "Low Income", IF(Table1[[#This Row],[Income]]&lt;=60000,"Medium Income","High Income"))</f>
        <v>High Income</v>
      </c>
      <c r="J774" s="1">
        <f>Table1[[#This Row],[LoanAmount]]/Table1[[#This Row],[Income]]</f>
        <v>0.27162812721963536</v>
      </c>
    </row>
    <row r="775" spans="1:10" x14ac:dyDescent="0.3">
      <c r="A775">
        <v>946</v>
      </c>
      <c r="B775">
        <v>56</v>
      </c>
      <c r="C775" t="s">
        <v>11</v>
      </c>
      <c r="D775">
        <v>24866</v>
      </c>
      <c r="E775">
        <v>16246</v>
      </c>
      <c r="F775">
        <v>511</v>
      </c>
      <c r="G775" t="s">
        <v>9</v>
      </c>
      <c r="H775" t="s">
        <v>10</v>
      </c>
      <c r="I775" t="str">
        <f>IF(Table1[[#This Row],[Income]]&lt;=30000, "Low Income", IF(Table1[[#This Row],[Income]]&lt;=60000,"Medium Income","High Income"))</f>
        <v>Low Income</v>
      </c>
      <c r="J775" s="1">
        <f>Table1[[#This Row],[LoanAmount]]/Table1[[#This Row],[Income]]</f>
        <v>0.65334191265181374</v>
      </c>
    </row>
    <row r="776" spans="1:10" x14ac:dyDescent="0.3">
      <c r="A776">
        <v>947</v>
      </c>
      <c r="B776">
        <v>56</v>
      </c>
      <c r="C776" t="s">
        <v>8</v>
      </c>
      <c r="D776">
        <v>19531</v>
      </c>
      <c r="E776">
        <v>11380</v>
      </c>
      <c r="F776">
        <v>806</v>
      </c>
      <c r="G776" t="s">
        <v>9</v>
      </c>
      <c r="H776" t="s">
        <v>14</v>
      </c>
      <c r="I776" t="str">
        <f>IF(Table1[[#This Row],[Income]]&lt;=30000, "Low Income", IF(Table1[[#This Row],[Income]]&lt;=60000,"Medium Income","High Income"))</f>
        <v>Low Income</v>
      </c>
      <c r="J776" s="1">
        <f>Table1[[#This Row],[LoanAmount]]/Table1[[#This Row],[Income]]</f>
        <v>0.58266345809226361</v>
      </c>
    </row>
    <row r="777" spans="1:10" x14ac:dyDescent="0.3">
      <c r="A777">
        <v>948</v>
      </c>
      <c r="B777">
        <v>46</v>
      </c>
      <c r="C777" t="s">
        <v>11</v>
      </c>
      <c r="D777">
        <v>60454</v>
      </c>
      <c r="E777">
        <v>3224</v>
      </c>
      <c r="F777">
        <v>444</v>
      </c>
      <c r="G777" t="s">
        <v>9</v>
      </c>
      <c r="H777" t="s">
        <v>10</v>
      </c>
      <c r="I777" t="str">
        <f>IF(Table1[[#This Row],[Income]]&lt;=30000, "Low Income", IF(Table1[[#This Row],[Income]]&lt;=60000,"Medium Income","High Income"))</f>
        <v>High Income</v>
      </c>
      <c r="J777" s="1">
        <f>Table1[[#This Row],[LoanAmount]]/Table1[[#This Row],[Income]]</f>
        <v>5.3329804479438914E-2</v>
      </c>
    </row>
    <row r="778" spans="1:10" x14ac:dyDescent="0.3">
      <c r="A778">
        <v>949</v>
      </c>
      <c r="B778">
        <v>47</v>
      </c>
      <c r="C778" t="s">
        <v>11</v>
      </c>
      <c r="D778">
        <v>53098</v>
      </c>
      <c r="E778">
        <v>9389</v>
      </c>
      <c r="F778">
        <v>800</v>
      </c>
      <c r="G778" t="s">
        <v>12</v>
      </c>
      <c r="H778" t="s">
        <v>14</v>
      </c>
      <c r="I778" t="str">
        <f>IF(Table1[[#This Row],[Income]]&lt;=30000, "Low Income", IF(Table1[[#This Row],[Income]]&lt;=60000,"Medium Income","High Income"))</f>
        <v>Medium Income</v>
      </c>
      <c r="J778" s="1">
        <f>Table1[[#This Row],[LoanAmount]]/Table1[[#This Row],[Income]]</f>
        <v>0.176823985837508</v>
      </c>
    </row>
    <row r="779" spans="1:10" x14ac:dyDescent="0.3">
      <c r="A779">
        <v>950</v>
      </c>
      <c r="B779">
        <v>25</v>
      </c>
      <c r="C779" t="s">
        <v>11</v>
      </c>
      <c r="D779">
        <v>53278</v>
      </c>
      <c r="E779">
        <v>16927</v>
      </c>
      <c r="F779">
        <v>646</v>
      </c>
      <c r="G779" t="s">
        <v>9</v>
      </c>
      <c r="H779" t="s">
        <v>10</v>
      </c>
      <c r="I779" t="str">
        <f>IF(Table1[[#This Row],[Income]]&lt;=30000, "Low Income", IF(Table1[[#This Row],[Income]]&lt;=60000,"Medium Income","High Income"))</f>
        <v>Medium Income</v>
      </c>
      <c r="J779" s="1">
        <f>Table1[[#This Row],[LoanAmount]]/Table1[[#This Row],[Income]]</f>
        <v>0.31771087503284656</v>
      </c>
    </row>
    <row r="780" spans="1:10" x14ac:dyDescent="0.3">
      <c r="A780">
        <v>952</v>
      </c>
      <c r="B780">
        <v>31</v>
      </c>
      <c r="C780" t="s">
        <v>11</v>
      </c>
      <c r="D780">
        <v>79027</v>
      </c>
      <c r="E780">
        <v>11640</v>
      </c>
      <c r="F780">
        <v>484</v>
      </c>
      <c r="G780" t="s">
        <v>9</v>
      </c>
      <c r="H780" t="s">
        <v>10</v>
      </c>
      <c r="I780" t="str">
        <f>IF(Table1[[#This Row],[Income]]&lt;=30000, "Low Income", IF(Table1[[#This Row],[Income]]&lt;=60000,"Medium Income","High Income"))</f>
        <v>High Income</v>
      </c>
      <c r="J780" s="1">
        <f>Table1[[#This Row],[LoanAmount]]/Table1[[#This Row],[Income]]</f>
        <v>0.14729143204221343</v>
      </c>
    </row>
    <row r="781" spans="1:10" x14ac:dyDescent="0.3">
      <c r="A781">
        <v>953</v>
      </c>
      <c r="B781">
        <v>30</v>
      </c>
      <c r="C781" t="s">
        <v>8</v>
      </c>
      <c r="D781">
        <v>72906</v>
      </c>
      <c r="E781">
        <v>9662</v>
      </c>
      <c r="F781">
        <v>849</v>
      </c>
      <c r="G781" t="s">
        <v>12</v>
      </c>
      <c r="H781" t="s">
        <v>14</v>
      </c>
      <c r="I781" t="str">
        <f>IF(Table1[[#This Row],[Income]]&lt;=30000, "Low Income", IF(Table1[[#This Row],[Income]]&lt;=60000,"Medium Income","High Income"))</f>
        <v>High Income</v>
      </c>
      <c r="J781" s="1">
        <f>Table1[[#This Row],[LoanAmount]]/Table1[[#This Row],[Income]]</f>
        <v>0.13252681535127425</v>
      </c>
    </row>
    <row r="782" spans="1:10" x14ac:dyDescent="0.3">
      <c r="A782">
        <v>956</v>
      </c>
      <c r="B782">
        <v>28</v>
      </c>
      <c r="C782" t="s">
        <v>8</v>
      </c>
      <c r="D782">
        <v>44956</v>
      </c>
      <c r="E782">
        <v>13091</v>
      </c>
      <c r="F782">
        <v>417</v>
      </c>
      <c r="G782" t="s">
        <v>9</v>
      </c>
      <c r="H782" t="s">
        <v>10</v>
      </c>
      <c r="I782" t="str">
        <f>IF(Table1[[#This Row],[Income]]&lt;=30000, "Low Income", IF(Table1[[#This Row],[Income]]&lt;=60000,"Medium Income","High Income"))</f>
        <v>Medium Income</v>
      </c>
      <c r="J782" s="1">
        <f>Table1[[#This Row],[LoanAmount]]/Table1[[#This Row],[Income]]</f>
        <v>0.29119583592846338</v>
      </c>
    </row>
    <row r="783" spans="1:10" x14ac:dyDescent="0.3">
      <c r="A783">
        <v>957</v>
      </c>
      <c r="B783">
        <v>43</v>
      </c>
      <c r="C783" t="s">
        <v>8</v>
      </c>
      <c r="D783">
        <v>56732</v>
      </c>
      <c r="E783">
        <v>12992</v>
      </c>
      <c r="F783">
        <v>493</v>
      </c>
      <c r="G783" t="s">
        <v>9</v>
      </c>
      <c r="H783" t="s">
        <v>10</v>
      </c>
      <c r="I783" t="str">
        <f>IF(Table1[[#This Row],[Income]]&lt;=30000, "Low Income", IF(Table1[[#This Row],[Income]]&lt;=60000,"Medium Income","High Income"))</f>
        <v>Medium Income</v>
      </c>
      <c r="J783" s="1">
        <f>Table1[[#This Row],[LoanAmount]]/Table1[[#This Row],[Income]]</f>
        <v>0.22900655714587886</v>
      </c>
    </row>
    <row r="784" spans="1:10" x14ac:dyDescent="0.3">
      <c r="A784">
        <v>958</v>
      </c>
      <c r="B784">
        <v>46</v>
      </c>
      <c r="C784" t="s">
        <v>8</v>
      </c>
      <c r="D784">
        <v>54261</v>
      </c>
      <c r="E784">
        <v>7318</v>
      </c>
      <c r="F784">
        <v>549</v>
      </c>
      <c r="G784" t="s">
        <v>9</v>
      </c>
      <c r="H784" t="s">
        <v>10</v>
      </c>
      <c r="I784" t="str">
        <f>IF(Table1[[#This Row],[Income]]&lt;=30000, "Low Income", IF(Table1[[#This Row],[Income]]&lt;=60000,"Medium Income","High Income"))</f>
        <v>Medium Income</v>
      </c>
      <c r="J784" s="1">
        <f>Table1[[#This Row],[LoanAmount]]/Table1[[#This Row],[Income]]</f>
        <v>0.1348666629807781</v>
      </c>
    </row>
    <row r="785" spans="1:10" x14ac:dyDescent="0.3">
      <c r="A785">
        <v>959</v>
      </c>
      <c r="B785">
        <v>32</v>
      </c>
      <c r="C785" t="s">
        <v>8</v>
      </c>
      <c r="D785">
        <v>74381</v>
      </c>
      <c r="E785">
        <v>13180</v>
      </c>
      <c r="F785">
        <v>645</v>
      </c>
      <c r="G785" t="s">
        <v>9</v>
      </c>
      <c r="H785" t="s">
        <v>10</v>
      </c>
      <c r="I785" t="str">
        <f>IF(Table1[[#This Row],[Income]]&lt;=30000, "Low Income", IF(Table1[[#This Row],[Income]]&lt;=60000,"Medium Income","High Income"))</f>
        <v>High Income</v>
      </c>
      <c r="J785" s="1">
        <f>Table1[[#This Row],[LoanAmount]]/Table1[[#This Row],[Income]]</f>
        <v>0.17719578924725402</v>
      </c>
    </row>
    <row r="786" spans="1:10" x14ac:dyDescent="0.3">
      <c r="A786">
        <v>960</v>
      </c>
      <c r="B786">
        <v>46</v>
      </c>
      <c r="C786" t="s">
        <v>8</v>
      </c>
      <c r="D786">
        <v>48500</v>
      </c>
      <c r="E786">
        <v>1234</v>
      </c>
      <c r="F786">
        <v>688</v>
      </c>
      <c r="G786" t="s">
        <v>12</v>
      </c>
      <c r="H786" t="s">
        <v>13</v>
      </c>
      <c r="I786" t="str">
        <f>IF(Table1[[#This Row],[Income]]&lt;=30000, "Low Income", IF(Table1[[#This Row],[Income]]&lt;=60000,"Medium Income","High Income"))</f>
        <v>Medium Income</v>
      </c>
      <c r="J786" s="1">
        <f>Table1[[#This Row],[LoanAmount]]/Table1[[#This Row],[Income]]</f>
        <v>2.5443298969072166E-2</v>
      </c>
    </row>
    <row r="787" spans="1:10" x14ac:dyDescent="0.3">
      <c r="A787">
        <v>962</v>
      </c>
      <c r="B787">
        <v>38</v>
      </c>
      <c r="C787" t="s">
        <v>11</v>
      </c>
      <c r="D787">
        <v>20439</v>
      </c>
      <c r="E787">
        <v>1522</v>
      </c>
      <c r="F787">
        <v>608</v>
      </c>
      <c r="G787" t="s">
        <v>9</v>
      </c>
      <c r="H787" t="s">
        <v>10</v>
      </c>
      <c r="I787" t="str">
        <f>IF(Table1[[#This Row],[Income]]&lt;=30000, "Low Income", IF(Table1[[#This Row],[Income]]&lt;=60000,"Medium Income","High Income"))</f>
        <v>Low Income</v>
      </c>
      <c r="J787" s="1">
        <f>Table1[[#This Row],[LoanAmount]]/Table1[[#This Row],[Income]]</f>
        <v>7.4465482655707224E-2</v>
      </c>
    </row>
    <row r="788" spans="1:10" x14ac:dyDescent="0.3">
      <c r="A788">
        <v>965</v>
      </c>
      <c r="B788">
        <v>32</v>
      </c>
      <c r="C788" t="s">
        <v>11</v>
      </c>
      <c r="D788">
        <v>43270</v>
      </c>
      <c r="E788">
        <v>6832</v>
      </c>
      <c r="F788">
        <v>815</v>
      </c>
      <c r="G788" t="s">
        <v>12</v>
      </c>
      <c r="H788" t="s">
        <v>14</v>
      </c>
      <c r="I788" t="str">
        <f>IF(Table1[[#This Row],[Income]]&lt;=30000, "Low Income", IF(Table1[[#This Row],[Income]]&lt;=60000,"Medium Income","High Income"))</f>
        <v>Medium Income</v>
      </c>
      <c r="J788" s="1">
        <f>Table1[[#This Row],[LoanAmount]]/Table1[[#This Row],[Income]]</f>
        <v>0.15789230413681535</v>
      </c>
    </row>
    <row r="789" spans="1:10" x14ac:dyDescent="0.3">
      <c r="A789">
        <v>966</v>
      </c>
      <c r="B789">
        <v>56</v>
      </c>
      <c r="C789" t="s">
        <v>11</v>
      </c>
      <c r="D789">
        <v>28279</v>
      </c>
      <c r="E789">
        <v>13820</v>
      </c>
      <c r="F789">
        <v>825</v>
      </c>
      <c r="G789" t="s">
        <v>9</v>
      </c>
      <c r="H789" t="s">
        <v>14</v>
      </c>
      <c r="I789" t="str">
        <f>IF(Table1[[#This Row],[Income]]&lt;=30000, "Low Income", IF(Table1[[#This Row],[Income]]&lt;=60000,"Medium Income","High Income"))</f>
        <v>Low Income</v>
      </c>
      <c r="J789" s="1">
        <f>Table1[[#This Row],[LoanAmount]]/Table1[[#This Row],[Income]]</f>
        <v>0.48870186357367656</v>
      </c>
    </row>
    <row r="790" spans="1:10" x14ac:dyDescent="0.3">
      <c r="A790">
        <v>967</v>
      </c>
      <c r="B790">
        <v>24</v>
      </c>
      <c r="C790" t="s">
        <v>8</v>
      </c>
      <c r="D790">
        <v>54279</v>
      </c>
      <c r="E790">
        <v>17211</v>
      </c>
      <c r="F790">
        <v>521</v>
      </c>
      <c r="G790" t="s">
        <v>9</v>
      </c>
      <c r="H790" t="s">
        <v>10</v>
      </c>
      <c r="I790" t="str">
        <f>IF(Table1[[#This Row],[Income]]&lt;=30000, "Low Income", IF(Table1[[#This Row],[Income]]&lt;=60000,"Medium Income","High Income"))</f>
        <v>Medium Income</v>
      </c>
      <c r="J790" s="1">
        <f>Table1[[#This Row],[LoanAmount]]/Table1[[#This Row],[Income]]</f>
        <v>0.31708395512076493</v>
      </c>
    </row>
    <row r="791" spans="1:10" x14ac:dyDescent="0.3">
      <c r="A791">
        <v>970</v>
      </c>
      <c r="B791">
        <v>28</v>
      </c>
      <c r="C791" t="s">
        <v>8</v>
      </c>
      <c r="D791">
        <v>32630</v>
      </c>
      <c r="E791">
        <v>2316</v>
      </c>
      <c r="F791">
        <v>819</v>
      </c>
      <c r="G791" t="s">
        <v>12</v>
      </c>
      <c r="H791" t="s">
        <v>14</v>
      </c>
      <c r="I791" t="str">
        <f>IF(Table1[[#This Row],[Income]]&lt;=30000, "Low Income", IF(Table1[[#This Row],[Income]]&lt;=60000,"Medium Income","High Income"))</f>
        <v>Medium Income</v>
      </c>
      <c r="J791" s="1">
        <f>Table1[[#This Row],[LoanAmount]]/Table1[[#This Row],[Income]]</f>
        <v>7.0977627949739497E-2</v>
      </c>
    </row>
    <row r="792" spans="1:10" x14ac:dyDescent="0.3">
      <c r="A792">
        <v>971</v>
      </c>
      <c r="B792">
        <v>48</v>
      </c>
      <c r="C792" t="s">
        <v>8</v>
      </c>
      <c r="D792">
        <v>76063</v>
      </c>
      <c r="E792">
        <v>14200</v>
      </c>
      <c r="F792">
        <v>561</v>
      </c>
      <c r="G792" t="s">
        <v>9</v>
      </c>
      <c r="H792" t="s">
        <v>10</v>
      </c>
      <c r="I792" t="str">
        <f>IF(Table1[[#This Row],[Income]]&lt;=30000, "Low Income", IF(Table1[[#This Row],[Income]]&lt;=60000,"Medium Income","High Income"))</f>
        <v>High Income</v>
      </c>
      <c r="J792" s="1">
        <f>Table1[[#This Row],[LoanAmount]]/Table1[[#This Row],[Income]]</f>
        <v>0.18668735127460132</v>
      </c>
    </row>
    <row r="793" spans="1:10" x14ac:dyDescent="0.3">
      <c r="A793">
        <v>974</v>
      </c>
      <c r="B793">
        <v>49</v>
      </c>
      <c r="C793" t="s">
        <v>11</v>
      </c>
      <c r="D793">
        <v>77360</v>
      </c>
      <c r="E793">
        <v>19971</v>
      </c>
      <c r="F793">
        <v>427</v>
      </c>
      <c r="G793" t="s">
        <v>9</v>
      </c>
      <c r="H793" t="s">
        <v>10</v>
      </c>
      <c r="I793" t="str">
        <f>IF(Table1[[#This Row],[Income]]&lt;=30000, "Low Income", IF(Table1[[#This Row],[Income]]&lt;=60000,"Medium Income","High Income"))</f>
        <v>High Income</v>
      </c>
      <c r="J793" s="1">
        <f>Table1[[#This Row],[LoanAmount]]/Table1[[#This Row],[Income]]</f>
        <v>0.25815667011375387</v>
      </c>
    </row>
    <row r="794" spans="1:10" x14ac:dyDescent="0.3">
      <c r="A794">
        <v>975</v>
      </c>
      <c r="B794">
        <v>34</v>
      </c>
      <c r="C794" t="s">
        <v>11</v>
      </c>
      <c r="D794">
        <v>48500</v>
      </c>
      <c r="E794">
        <v>2378</v>
      </c>
      <c r="F794">
        <v>410</v>
      </c>
      <c r="G794" t="s">
        <v>9</v>
      </c>
      <c r="H794" t="s">
        <v>10</v>
      </c>
      <c r="I794" t="str">
        <f>IF(Table1[[#This Row],[Income]]&lt;=30000, "Low Income", IF(Table1[[#This Row],[Income]]&lt;=60000,"Medium Income","High Income"))</f>
        <v>Medium Income</v>
      </c>
      <c r="J794" s="1">
        <f>Table1[[#This Row],[LoanAmount]]/Table1[[#This Row],[Income]]</f>
        <v>4.9030927835051544E-2</v>
      </c>
    </row>
    <row r="795" spans="1:10" x14ac:dyDescent="0.3">
      <c r="A795">
        <v>976</v>
      </c>
      <c r="B795">
        <v>42</v>
      </c>
      <c r="C795" t="s">
        <v>11</v>
      </c>
      <c r="D795">
        <v>67161</v>
      </c>
      <c r="E795">
        <v>2519</v>
      </c>
      <c r="F795">
        <v>605</v>
      </c>
      <c r="G795" t="s">
        <v>9</v>
      </c>
      <c r="H795" t="s">
        <v>10</v>
      </c>
      <c r="I795" t="str">
        <f>IF(Table1[[#This Row],[Income]]&lt;=30000, "Low Income", IF(Table1[[#This Row],[Income]]&lt;=60000,"Medium Income","High Income"))</f>
        <v>High Income</v>
      </c>
      <c r="J795" s="1">
        <f>Table1[[#This Row],[LoanAmount]]/Table1[[#This Row],[Income]]</f>
        <v>3.7506886437069134E-2</v>
      </c>
    </row>
    <row r="796" spans="1:10" x14ac:dyDescent="0.3">
      <c r="A796">
        <v>977</v>
      </c>
      <c r="B796">
        <v>31</v>
      </c>
      <c r="C796" t="s">
        <v>11</v>
      </c>
      <c r="D796">
        <v>48500</v>
      </c>
      <c r="E796">
        <v>8935</v>
      </c>
      <c r="F796">
        <v>566</v>
      </c>
      <c r="G796" t="s">
        <v>9</v>
      </c>
      <c r="H796" t="s">
        <v>10</v>
      </c>
      <c r="I796" t="str">
        <f>IF(Table1[[#This Row],[Income]]&lt;=30000, "Low Income", IF(Table1[[#This Row],[Income]]&lt;=60000,"Medium Income","High Income"))</f>
        <v>Medium Income</v>
      </c>
      <c r="J796" s="1">
        <f>Table1[[#This Row],[LoanAmount]]/Table1[[#This Row],[Income]]</f>
        <v>0.18422680412371134</v>
      </c>
    </row>
    <row r="797" spans="1:10" x14ac:dyDescent="0.3">
      <c r="A797">
        <v>978</v>
      </c>
      <c r="B797">
        <v>43</v>
      </c>
      <c r="C797" t="s">
        <v>8</v>
      </c>
      <c r="D797">
        <v>75337</v>
      </c>
      <c r="E797">
        <v>7093</v>
      </c>
      <c r="F797">
        <v>646</v>
      </c>
      <c r="G797" t="s">
        <v>9</v>
      </c>
      <c r="H797" t="s">
        <v>10</v>
      </c>
      <c r="I797" t="str">
        <f>IF(Table1[[#This Row],[Income]]&lt;=30000, "Low Income", IF(Table1[[#This Row],[Income]]&lt;=60000,"Medium Income","High Income"))</f>
        <v>High Income</v>
      </c>
      <c r="J797" s="1">
        <f>Table1[[#This Row],[LoanAmount]]/Table1[[#This Row],[Income]]</f>
        <v>9.4150284720655189E-2</v>
      </c>
    </row>
    <row r="798" spans="1:10" x14ac:dyDescent="0.3">
      <c r="A798">
        <v>979</v>
      </c>
      <c r="B798">
        <v>21</v>
      </c>
      <c r="C798" t="s">
        <v>8</v>
      </c>
      <c r="D798">
        <v>40538</v>
      </c>
      <c r="E798">
        <v>6355</v>
      </c>
      <c r="F798">
        <v>446</v>
      </c>
      <c r="G798" t="s">
        <v>9</v>
      </c>
      <c r="H798" t="s">
        <v>10</v>
      </c>
      <c r="I798" t="str">
        <f>IF(Table1[[#This Row],[Income]]&lt;=30000, "Low Income", IF(Table1[[#This Row],[Income]]&lt;=60000,"Medium Income","High Income"))</f>
        <v>Medium Income</v>
      </c>
      <c r="J798" s="1">
        <f>Table1[[#This Row],[LoanAmount]]/Table1[[#This Row],[Income]]</f>
        <v>0.15676649070008386</v>
      </c>
    </row>
    <row r="799" spans="1:10" x14ac:dyDescent="0.3">
      <c r="A799">
        <v>980</v>
      </c>
      <c r="B799">
        <v>57</v>
      </c>
      <c r="C799" t="s">
        <v>8</v>
      </c>
      <c r="D799">
        <v>26824</v>
      </c>
      <c r="E799">
        <v>10083</v>
      </c>
      <c r="F799">
        <v>645</v>
      </c>
      <c r="G799" t="s">
        <v>9</v>
      </c>
      <c r="H799" t="s">
        <v>10</v>
      </c>
      <c r="I799" t="str">
        <f>IF(Table1[[#This Row],[Income]]&lt;=30000, "Low Income", IF(Table1[[#This Row],[Income]]&lt;=60000,"Medium Income","High Income"))</f>
        <v>Low Income</v>
      </c>
      <c r="J799" s="1">
        <f>Table1[[#This Row],[LoanAmount]]/Table1[[#This Row],[Income]]</f>
        <v>0.37589472114524308</v>
      </c>
    </row>
    <row r="800" spans="1:10" x14ac:dyDescent="0.3">
      <c r="A800">
        <v>981</v>
      </c>
      <c r="B800">
        <v>41</v>
      </c>
      <c r="C800" t="s">
        <v>11</v>
      </c>
      <c r="D800">
        <v>65979</v>
      </c>
      <c r="E800">
        <v>6574</v>
      </c>
      <c r="F800">
        <v>526</v>
      </c>
      <c r="G800" t="s">
        <v>9</v>
      </c>
      <c r="H800" t="s">
        <v>10</v>
      </c>
      <c r="I800" t="str">
        <f>IF(Table1[[#This Row],[Income]]&lt;=30000, "Low Income", IF(Table1[[#This Row],[Income]]&lt;=60000,"Medium Income","High Income"))</f>
        <v>High Income</v>
      </c>
      <c r="J800" s="1">
        <f>Table1[[#This Row],[LoanAmount]]/Table1[[#This Row],[Income]]</f>
        <v>9.9637763530820406E-2</v>
      </c>
    </row>
    <row r="801" spans="1:10" x14ac:dyDescent="0.3">
      <c r="A801">
        <v>982</v>
      </c>
      <c r="B801">
        <v>46</v>
      </c>
      <c r="C801" t="s">
        <v>8</v>
      </c>
      <c r="D801">
        <v>47125</v>
      </c>
      <c r="E801">
        <v>14324</v>
      </c>
      <c r="F801">
        <v>546</v>
      </c>
      <c r="G801" t="s">
        <v>9</v>
      </c>
      <c r="H801" t="s">
        <v>10</v>
      </c>
      <c r="I801" t="str">
        <f>IF(Table1[[#This Row],[Income]]&lt;=30000, "Low Income", IF(Table1[[#This Row],[Income]]&lt;=60000,"Medium Income","High Income"))</f>
        <v>Medium Income</v>
      </c>
      <c r="J801" s="1">
        <f>Table1[[#This Row],[LoanAmount]]/Table1[[#This Row],[Income]]</f>
        <v>0.30395755968169763</v>
      </c>
    </row>
    <row r="802" spans="1:10" x14ac:dyDescent="0.3">
      <c r="A802">
        <v>983</v>
      </c>
      <c r="B802">
        <v>56</v>
      </c>
      <c r="C802" t="s">
        <v>8</v>
      </c>
      <c r="D802">
        <v>21979</v>
      </c>
      <c r="E802">
        <v>3257</v>
      </c>
      <c r="F802">
        <v>517</v>
      </c>
      <c r="G802" t="s">
        <v>9</v>
      </c>
      <c r="H802" t="s">
        <v>10</v>
      </c>
      <c r="I802" t="str">
        <f>IF(Table1[[#This Row],[Income]]&lt;=30000, "Low Income", IF(Table1[[#This Row],[Income]]&lt;=60000,"Medium Income","High Income"))</f>
        <v>Low Income</v>
      </c>
      <c r="J802" s="1">
        <f>Table1[[#This Row],[LoanAmount]]/Table1[[#This Row],[Income]]</f>
        <v>0.14818690568269713</v>
      </c>
    </row>
    <row r="803" spans="1:10" x14ac:dyDescent="0.3">
      <c r="A803">
        <v>984</v>
      </c>
      <c r="B803">
        <v>43</v>
      </c>
      <c r="C803" t="s">
        <v>8</v>
      </c>
      <c r="D803">
        <v>41189</v>
      </c>
      <c r="E803">
        <v>14411</v>
      </c>
      <c r="F803">
        <v>798</v>
      </c>
      <c r="G803" t="s">
        <v>12</v>
      </c>
      <c r="H803" t="s">
        <v>14</v>
      </c>
      <c r="I803" t="str">
        <f>IF(Table1[[#This Row],[Income]]&lt;=30000, "Low Income", IF(Table1[[#This Row],[Income]]&lt;=60000,"Medium Income","High Income"))</f>
        <v>Medium Income</v>
      </c>
      <c r="J803" s="1">
        <f>Table1[[#This Row],[LoanAmount]]/Table1[[#This Row],[Income]]</f>
        <v>0.34987496661730072</v>
      </c>
    </row>
    <row r="804" spans="1:10" x14ac:dyDescent="0.3">
      <c r="A804">
        <v>985</v>
      </c>
      <c r="B804">
        <v>21</v>
      </c>
      <c r="C804" t="s">
        <v>11</v>
      </c>
      <c r="D804">
        <v>57600</v>
      </c>
      <c r="E804">
        <v>16233</v>
      </c>
      <c r="F804">
        <v>781</v>
      </c>
      <c r="G804" t="s">
        <v>12</v>
      </c>
      <c r="H804" t="s">
        <v>14</v>
      </c>
      <c r="I804" t="str">
        <f>IF(Table1[[#This Row],[Income]]&lt;=30000, "Low Income", IF(Table1[[#This Row],[Income]]&lt;=60000,"Medium Income","High Income"))</f>
        <v>Medium Income</v>
      </c>
      <c r="J804" s="1">
        <f>Table1[[#This Row],[LoanAmount]]/Table1[[#This Row],[Income]]</f>
        <v>0.28182291666666665</v>
      </c>
    </row>
    <row r="805" spans="1:10" x14ac:dyDescent="0.3">
      <c r="A805">
        <v>988</v>
      </c>
      <c r="B805">
        <v>29</v>
      </c>
      <c r="C805" t="s">
        <v>11</v>
      </c>
      <c r="D805">
        <v>48500</v>
      </c>
      <c r="E805">
        <v>19400</v>
      </c>
      <c r="F805">
        <v>471</v>
      </c>
      <c r="G805" t="s">
        <v>9</v>
      </c>
      <c r="H805" t="s">
        <v>10</v>
      </c>
      <c r="I805" t="str">
        <f>IF(Table1[[#This Row],[Income]]&lt;=30000, "Low Income", IF(Table1[[#This Row],[Income]]&lt;=60000,"Medium Income","High Income"))</f>
        <v>Medium Income</v>
      </c>
      <c r="J805" s="1">
        <f>Table1[[#This Row],[LoanAmount]]/Table1[[#This Row],[Income]]</f>
        <v>0.4</v>
      </c>
    </row>
    <row r="806" spans="1:10" x14ac:dyDescent="0.3">
      <c r="A806">
        <v>989</v>
      </c>
      <c r="B806">
        <v>29</v>
      </c>
      <c r="C806" t="s">
        <v>11</v>
      </c>
      <c r="D806">
        <v>76558</v>
      </c>
      <c r="E806">
        <v>11860</v>
      </c>
      <c r="F806">
        <v>762</v>
      </c>
      <c r="G806" t="s">
        <v>12</v>
      </c>
      <c r="H806" t="s">
        <v>14</v>
      </c>
      <c r="I806" t="str">
        <f>IF(Table1[[#This Row],[Income]]&lt;=30000, "Low Income", IF(Table1[[#This Row],[Income]]&lt;=60000,"Medium Income","High Income"))</f>
        <v>High Income</v>
      </c>
      <c r="J806" s="1">
        <f>Table1[[#This Row],[LoanAmount]]/Table1[[#This Row],[Income]]</f>
        <v>0.15491522767052432</v>
      </c>
    </row>
    <row r="807" spans="1:10" x14ac:dyDescent="0.3">
      <c r="A807">
        <v>990</v>
      </c>
      <c r="B807">
        <v>30</v>
      </c>
      <c r="C807" t="s">
        <v>11</v>
      </c>
      <c r="D807">
        <v>35669</v>
      </c>
      <c r="E807">
        <v>11070</v>
      </c>
      <c r="F807">
        <v>536</v>
      </c>
      <c r="G807" t="s">
        <v>9</v>
      </c>
      <c r="H807" t="s">
        <v>10</v>
      </c>
      <c r="I807" t="str">
        <f>IF(Table1[[#This Row],[Income]]&lt;=30000, "Low Income", IF(Table1[[#This Row],[Income]]&lt;=60000,"Medium Income","High Income"))</f>
        <v>Medium Income</v>
      </c>
      <c r="J807" s="1">
        <f>Table1[[#This Row],[LoanAmount]]/Table1[[#This Row],[Income]]</f>
        <v>0.31035352827385126</v>
      </c>
    </row>
    <row r="808" spans="1:10" x14ac:dyDescent="0.3">
      <c r="A808">
        <v>992</v>
      </c>
      <c r="B808">
        <v>55</v>
      </c>
      <c r="C808" t="s">
        <v>11</v>
      </c>
      <c r="D808">
        <v>72713</v>
      </c>
      <c r="E808">
        <v>19156</v>
      </c>
      <c r="F808">
        <v>688</v>
      </c>
      <c r="G808" t="s">
        <v>12</v>
      </c>
      <c r="H808" t="s">
        <v>13</v>
      </c>
      <c r="I808" t="str">
        <f>IF(Table1[[#This Row],[Income]]&lt;=30000, "Low Income", IF(Table1[[#This Row],[Income]]&lt;=60000,"Medium Income","High Income"))</f>
        <v>High Income</v>
      </c>
      <c r="J808" s="1">
        <f>Table1[[#This Row],[LoanAmount]]/Table1[[#This Row],[Income]]</f>
        <v>0.26344670141515275</v>
      </c>
    </row>
    <row r="809" spans="1:10" x14ac:dyDescent="0.3">
      <c r="A809">
        <v>993</v>
      </c>
      <c r="B809">
        <v>45</v>
      </c>
      <c r="C809" t="s">
        <v>11</v>
      </c>
      <c r="D809">
        <v>61857</v>
      </c>
      <c r="E809">
        <v>19135</v>
      </c>
      <c r="F809">
        <v>845</v>
      </c>
      <c r="G809" t="s">
        <v>12</v>
      </c>
      <c r="H809" t="s">
        <v>14</v>
      </c>
      <c r="I809" t="str">
        <f>IF(Table1[[#This Row],[Income]]&lt;=30000, "Low Income", IF(Table1[[#This Row],[Income]]&lt;=60000,"Medium Income","High Income"))</f>
        <v>High Income</v>
      </c>
      <c r="J809" s="1">
        <f>Table1[[#This Row],[LoanAmount]]/Table1[[#This Row],[Income]]</f>
        <v>0.30934251580257693</v>
      </c>
    </row>
    <row r="810" spans="1:10" x14ac:dyDescent="0.3">
      <c r="A810">
        <v>994</v>
      </c>
      <c r="B810">
        <v>46</v>
      </c>
      <c r="C810" t="s">
        <v>8</v>
      </c>
      <c r="D810">
        <v>49964</v>
      </c>
      <c r="E810">
        <v>15609</v>
      </c>
      <c r="F810">
        <v>418</v>
      </c>
      <c r="G810" t="s">
        <v>9</v>
      </c>
      <c r="H810" t="s">
        <v>10</v>
      </c>
      <c r="I810" t="str">
        <f>IF(Table1[[#This Row],[Income]]&lt;=30000, "Low Income", IF(Table1[[#This Row],[Income]]&lt;=60000,"Medium Income","High Income"))</f>
        <v>Medium Income</v>
      </c>
      <c r="J810" s="1">
        <f>Table1[[#This Row],[LoanAmount]]/Table1[[#This Row],[Income]]</f>
        <v>0.31240493155071652</v>
      </c>
    </row>
    <row r="811" spans="1:10" x14ac:dyDescent="0.3">
      <c r="A811">
        <v>996</v>
      </c>
      <c r="B811">
        <v>58</v>
      </c>
      <c r="C811" t="s">
        <v>11</v>
      </c>
      <c r="D811">
        <v>40227</v>
      </c>
      <c r="E811">
        <v>17923</v>
      </c>
      <c r="F811">
        <v>729</v>
      </c>
      <c r="G811" t="s">
        <v>9</v>
      </c>
      <c r="H811" t="s">
        <v>13</v>
      </c>
      <c r="I811" t="str">
        <f>IF(Table1[[#This Row],[Income]]&lt;=30000, "Low Income", IF(Table1[[#This Row],[Income]]&lt;=60000,"Medium Income","High Income"))</f>
        <v>Medium Income</v>
      </c>
      <c r="J811" s="1">
        <f>Table1[[#This Row],[LoanAmount]]/Table1[[#This Row],[Income]]</f>
        <v>0.44554652347925522</v>
      </c>
    </row>
    <row r="812" spans="1:10" x14ac:dyDescent="0.3">
      <c r="A812">
        <v>997</v>
      </c>
      <c r="B812">
        <v>22</v>
      </c>
      <c r="C812" t="s">
        <v>8</v>
      </c>
      <c r="D812">
        <v>20978</v>
      </c>
      <c r="E812">
        <v>15823</v>
      </c>
      <c r="F812">
        <v>823</v>
      </c>
      <c r="G812" t="s">
        <v>9</v>
      </c>
      <c r="H812" t="s">
        <v>14</v>
      </c>
      <c r="I812" t="str">
        <f>IF(Table1[[#This Row],[Income]]&lt;=30000, "Low Income", IF(Table1[[#This Row],[Income]]&lt;=60000,"Medium Income","High Income"))</f>
        <v>Low Income</v>
      </c>
      <c r="J812" s="1">
        <f>Table1[[#This Row],[LoanAmount]]/Table1[[#This Row],[Income]]</f>
        <v>0.75426637429688248</v>
      </c>
    </row>
    <row r="813" spans="1:10" x14ac:dyDescent="0.3">
      <c r="A813">
        <v>998</v>
      </c>
      <c r="B813">
        <v>27</v>
      </c>
      <c r="C813" t="s">
        <v>11</v>
      </c>
      <c r="D813">
        <v>36991</v>
      </c>
      <c r="E813">
        <v>18845</v>
      </c>
      <c r="F813">
        <v>574</v>
      </c>
      <c r="G813" t="s">
        <v>9</v>
      </c>
      <c r="H813" t="s">
        <v>10</v>
      </c>
      <c r="I813" t="str">
        <f>IF(Table1[[#This Row],[Income]]&lt;=30000, "Low Income", IF(Table1[[#This Row],[Income]]&lt;=60000,"Medium Income","High Income"))</f>
        <v>Medium Income</v>
      </c>
      <c r="J813" s="1">
        <f>Table1[[#This Row],[LoanAmount]]/Table1[[#This Row],[Income]]</f>
        <v>0.50944824416750023</v>
      </c>
    </row>
    <row r="814" spans="1:10" x14ac:dyDescent="0.3">
      <c r="A814">
        <v>999</v>
      </c>
      <c r="B814">
        <v>38</v>
      </c>
      <c r="C814" t="s">
        <v>11</v>
      </c>
      <c r="D814">
        <v>32153</v>
      </c>
      <c r="E814">
        <v>9547</v>
      </c>
      <c r="F814">
        <v>848</v>
      </c>
      <c r="G814" t="s">
        <v>12</v>
      </c>
      <c r="H814" t="s">
        <v>14</v>
      </c>
      <c r="I814" t="str">
        <f>IF(Table1[[#This Row],[Income]]&lt;=30000, "Low Income", IF(Table1[[#This Row],[Income]]&lt;=60000,"Medium Income","High Income"))</f>
        <v>Medium Income</v>
      </c>
      <c r="J814" s="1">
        <f>Table1[[#This Row],[LoanAmount]]/Table1[[#This Row],[Income]]</f>
        <v>0.29692408173420831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8DB94-1212-41B7-BC5E-61BFBE3A69B9}">
  <sheetPr>
    <tabColor theme="3"/>
  </sheetPr>
  <dimension ref="A3:H16"/>
  <sheetViews>
    <sheetView workbookViewId="0">
      <selection activeCell="G5" sqref="G4:G6"/>
      <pivotSelection pane="bottomRight" showHeader="1" activeRow="4" activeCol="6" click="1" r:id="rId2">
        <pivotArea dataOnly="0" labelOnly="1" fieldPosition="0">
          <references count="1">
            <reference field="7" count="0"/>
          </references>
        </pivotArea>
      </pivotSelection>
    </sheetView>
  </sheetViews>
  <sheetFormatPr defaultRowHeight="14.4" x14ac:dyDescent="0.3"/>
  <cols>
    <col min="1" max="1" width="12.5546875" bestFit="1" customWidth="1"/>
    <col min="2" max="2" width="19.33203125" bestFit="1" customWidth="1"/>
    <col min="3" max="3" width="8.33203125" bestFit="1" customWidth="1"/>
    <col min="4" max="4" width="12.5546875" bestFit="1" customWidth="1"/>
    <col min="5" max="5" width="19.33203125" bestFit="1" customWidth="1"/>
    <col min="7" max="7" width="12.5546875" bestFit="1" customWidth="1"/>
    <col min="8" max="8" width="20.88671875" bestFit="1" customWidth="1"/>
  </cols>
  <sheetData>
    <row r="3" spans="1:8" x14ac:dyDescent="0.3">
      <c r="A3" s="2" t="s">
        <v>17</v>
      </c>
      <c r="B3" t="s">
        <v>19</v>
      </c>
      <c r="D3" s="2" t="s">
        <v>17</v>
      </c>
      <c r="E3" t="s">
        <v>19</v>
      </c>
      <c r="G3" s="2" t="s">
        <v>17</v>
      </c>
      <c r="H3" t="s">
        <v>20</v>
      </c>
    </row>
    <row r="4" spans="1:8" x14ac:dyDescent="0.3">
      <c r="A4" s="3" t="s">
        <v>12</v>
      </c>
      <c r="B4" s="1">
        <v>0.7931034482758621</v>
      </c>
      <c r="D4" s="3" t="s">
        <v>12</v>
      </c>
      <c r="E4" s="4">
        <v>69</v>
      </c>
      <c r="G4" s="3" t="s">
        <v>14</v>
      </c>
      <c r="H4" s="4">
        <v>87</v>
      </c>
    </row>
    <row r="5" spans="1:8" x14ac:dyDescent="0.3">
      <c r="A5" s="3" t="s">
        <v>9</v>
      </c>
      <c r="B5" s="1">
        <v>0.20689655172413793</v>
      </c>
      <c r="D5" s="3" t="s">
        <v>9</v>
      </c>
      <c r="E5" s="4">
        <v>18</v>
      </c>
      <c r="G5" s="3" t="s">
        <v>18</v>
      </c>
      <c r="H5" s="4">
        <v>87</v>
      </c>
    </row>
    <row r="6" spans="1:8" x14ac:dyDescent="0.3">
      <c r="A6" s="3" t="s">
        <v>18</v>
      </c>
      <c r="B6" s="1">
        <v>1</v>
      </c>
      <c r="D6" s="3" t="s">
        <v>18</v>
      </c>
      <c r="E6" s="4">
        <v>87</v>
      </c>
    </row>
    <row r="11" spans="1:8" x14ac:dyDescent="0.3">
      <c r="A11" s="2" t="s">
        <v>19</v>
      </c>
      <c r="B11" s="2" t="s">
        <v>24</v>
      </c>
    </row>
    <row r="12" spans="1:8" x14ac:dyDescent="0.3">
      <c r="A12" s="2" t="s">
        <v>17</v>
      </c>
      <c r="B12" t="s">
        <v>12</v>
      </c>
      <c r="C12" t="s">
        <v>9</v>
      </c>
      <c r="D12" t="s">
        <v>18</v>
      </c>
    </row>
    <row r="13" spans="1:8" x14ac:dyDescent="0.3">
      <c r="A13" s="3" t="s">
        <v>21</v>
      </c>
      <c r="B13" s="1">
        <v>0.43776824034334766</v>
      </c>
      <c r="C13" s="1">
        <v>0.5622317596566524</v>
      </c>
      <c r="D13" s="1">
        <v>1</v>
      </c>
    </row>
    <row r="14" spans="1:8" x14ac:dyDescent="0.3">
      <c r="A14" s="3" t="s">
        <v>22</v>
      </c>
      <c r="B14" s="1">
        <v>4.2168674698795178E-2</v>
      </c>
      <c r="C14" s="1">
        <v>0.95783132530120485</v>
      </c>
      <c r="D14" s="1">
        <v>1</v>
      </c>
    </row>
    <row r="15" spans="1:8" x14ac:dyDescent="0.3">
      <c r="A15" s="3" t="s">
        <v>23</v>
      </c>
      <c r="B15" s="1">
        <v>0.28743961352657005</v>
      </c>
      <c r="C15" s="1">
        <v>0.7125603864734299</v>
      </c>
      <c r="D15" s="1">
        <v>1</v>
      </c>
    </row>
    <row r="16" spans="1:8" x14ac:dyDescent="0.3">
      <c r="A16" s="3" t="s">
        <v>18</v>
      </c>
      <c r="B16" s="1">
        <v>0.28044280442804426</v>
      </c>
      <c r="C16" s="1">
        <v>0.71955719557195574</v>
      </c>
      <c r="D16"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77E3-3700-41B9-B8FF-AF900FC2F254}">
  <sheetPr>
    <tabColor theme="3" tint="0.39997558519241921"/>
  </sheetPr>
  <dimension ref="A1:O7"/>
  <sheetViews>
    <sheetView tabSelected="1" workbookViewId="0">
      <selection activeCell="V15" sqref="V15"/>
    </sheetView>
  </sheetViews>
  <sheetFormatPr defaultRowHeight="14.4" x14ac:dyDescent="0.3"/>
  <sheetData>
    <row r="1" spans="1:15" x14ac:dyDescent="0.3">
      <c r="A1" s="7" t="s">
        <v>25</v>
      </c>
      <c r="B1" s="6"/>
      <c r="C1" s="6"/>
      <c r="D1" s="6"/>
      <c r="E1" s="6"/>
      <c r="F1" s="6"/>
      <c r="G1" s="6"/>
      <c r="H1" s="6"/>
      <c r="I1" s="6"/>
      <c r="J1" s="6"/>
      <c r="K1" s="6"/>
      <c r="L1" s="6"/>
      <c r="M1" s="6"/>
      <c r="N1" s="6"/>
    </row>
    <row r="2" spans="1:15" x14ac:dyDescent="0.3">
      <c r="A2" s="6"/>
      <c r="B2" s="6"/>
      <c r="C2" s="6"/>
      <c r="D2" s="6"/>
      <c r="E2" s="6"/>
      <c r="F2" s="6"/>
      <c r="G2" s="6"/>
      <c r="H2" s="6"/>
      <c r="I2" s="6"/>
      <c r="J2" s="6"/>
      <c r="K2" s="6"/>
      <c r="L2" s="6"/>
      <c r="M2" s="6"/>
      <c r="N2" s="6"/>
    </row>
    <row r="4" spans="1:15" x14ac:dyDescent="0.3">
      <c r="A4" s="9" t="s">
        <v>26</v>
      </c>
      <c r="B4" s="9"/>
      <c r="C4" s="9"/>
      <c r="E4" s="9" t="s">
        <v>27</v>
      </c>
      <c r="F4" s="9"/>
      <c r="G4" s="9"/>
      <c r="I4" s="9" t="s">
        <v>28</v>
      </c>
      <c r="J4" s="9"/>
      <c r="K4" s="9"/>
      <c r="M4" s="9" t="s">
        <v>29</v>
      </c>
      <c r="N4" s="9"/>
      <c r="O4" s="9"/>
    </row>
    <row r="5" spans="1:15" x14ac:dyDescent="0.3">
      <c r="A5" s="9"/>
      <c r="B5" s="9"/>
      <c r="C5" s="9"/>
      <c r="E5" s="9"/>
      <c r="F5" s="9"/>
      <c r="G5" s="9"/>
      <c r="I5" s="9"/>
      <c r="J5" s="9"/>
      <c r="K5" s="9"/>
      <c r="M5" s="9"/>
      <c r="N5" s="9"/>
      <c r="O5" s="9"/>
    </row>
    <row r="6" spans="1:15" x14ac:dyDescent="0.3">
      <c r="A6" s="9"/>
      <c r="B6" s="9"/>
      <c r="C6" s="9"/>
      <c r="E6" s="9"/>
      <c r="F6" s="9"/>
      <c r="G6" s="9"/>
      <c r="I6" s="9"/>
      <c r="J6" s="9"/>
      <c r="K6" s="9"/>
      <c r="M6" s="9"/>
      <c r="N6" s="9"/>
      <c r="O6" s="9"/>
    </row>
    <row r="7" spans="1:15" x14ac:dyDescent="0.3">
      <c r="B7" s="8">
        <v>813</v>
      </c>
      <c r="F7" s="5">
        <v>228</v>
      </c>
      <c r="J7" s="5">
        <v>585</v>
      </c>
      <c r="N7" s="10">
        <v>0.28039999999999998</v>
      </c>
    </row>
  </sheetData>
  <mergeCells count="5">
    <mergeCell ref="A1:N2"/>
    <mergeCell ref="A4:C6"/>
    <mergeCell ref="E4:G6"/>
    <mergeCell ref="I4:K6"/>
    <mergeCell ref="M4: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Clean_loan_data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Srushti</dc:creator>
  <cp:lastModifiedBy>Srushti Nakil</cp:lastModifiedBy>
  <dcterms:created xsi:type="dcterms:W3CDTF">2026-08-09T10:57:55Z</dcterms:created>
  <dcterms:modified xsi:type="dcterms:W3CDTF">2026-08-09T13:21:36Z</dcterms:modified>
</cp:coreProperties>
</file>